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46317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46317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46317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46317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46317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46317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46317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46317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46317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46317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46317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46317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46317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58350-2025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46317</v>
      </c>
      <c r="F15" t="inlineStr">
        <is>
          <t>SKÅNE LÄN</t>
        </is>
      </c>
      <c r="G15" t="inlineStr">
        <is>
          <t>SVEDALA</t>
        </is>
      </c>
      <c r="I15" t="n">
        <v>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Koralltaggsvamp
Stor revmossa</t>
        </is>
      </c>
      <c r="W15">
        <f>HYPERLINK("https://klasma.github.io/Logging_1263/artfynd/A 58350-2025 artfynd.xlsx", "A 58350-2025")</f>
        <v/>
      </c>
      <c r="X15">
        <f>HYPERLINK("https://klasma.github.io/Logging_1263/kartor/A 58350-2025 karta.png", "A 58350-2025")</f>
        <v/>
      </c>
      <c r="Y15">
        <f>HYPERLINK("https://klasma.github.io/Logging_1263/kartor_geotiff/A 58350-2025 georefererad karta.tif", "A 58350-2025")</f>
        <v/>
      </c>
      <c r="AA15">
        <f>HYPERLINK("https://klasma.github.io/Logging_1263/klagomål/A 58350-2025 FSC-klagomål.docx", "A 58350-2025")</f>
        <v/>
      </c>
      <c r="AB15">
        <f>HYPERLINK("https://klasma.github.io/Logging_1263/klagomålsmail/A 58350-2025 FSC-klagomål mail.docx", "A 58350-2025")</f>
        <v/>
      </c>
      <c r="AC15">
        <f>HYPERLINK("https://klasma.github.io/Logging_1263/tillsyn/A 58350-2025 tillsynsbegäran.docx", "A 58350-2025")</f>
        <v/>
      </c>
      <c r="AD15">
        <f>HYPERLINK("https://klasma.github.io/Logging_1263/tillsynsmail/A 58350-2025 tillsynsbegäran mail.docx", "A 58350-2025")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46317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46317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46317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46317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46317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46317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46317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46317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46317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46317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25054-2026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46317</v>
      </c>
      <c r="F26" t="inlineStr">
        <is>
          <t>SKÅNE LÄN</t>
        </is>
      </c>
      <c r="G26" t="inlineStr">
        <is>
          <t>SVEDALA</t>
        </is>
      </c>
      <c r="I26" t="n">
        <v>3.8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Fransig jordstjärna</t>
        </is>
      </c>
      <c r="W26">
        <f>HYPERLINK("https://klasma.github.io/Logging_1263/artfynd/A 25054-2026 artfynd.xlsx", "A 25054-2026")</f>
        <v/>
      </c>
      <c r="X26">
        <f>HYPERLINK("https://klasma.github.io/Logging_1263/kartor/A 25054-2026 karta.png", "A 25054-2026")</f>
        <v/>
      </c>
      <c r="Y26">
        <f>HYPERLINK("https://klasma.github.io/Logging_1263/kartor_geotiff/A 25054-2026 georefererad karta.tif", "A 25054-2026")</f>
        <v/>
      </c>
      <c r="AA26">
        <f>HYPERLINK("https://klasma.github.io/Logging_1263/klagomål/A 25054-2026 FSC-klagomål.docx", "A 25054-2026")</f>
        <v/>
      </c>
      <c r="AB26">
        <f>HYPERLINK("https://klasma.github.io/Logging_1263/klagomålsmail/A 25054-2026 FSC-klagomål mail.docx", "A 25054-2026")</f>
        <v/>
      </c>
      <c r="AC26">
        <f>HYPERLINK("https://klasma.github.io/Logging_1263/tillsyn/A 25054-2026 tillsynsbegäran.docx", "A 25054-2026")</f>
        <v/>
      </c>
      <c r="AD26">
        <f>HYPERLINK("https://klasma.github.io/Logging_1263/tillsynsmail/A 25054-2026 tillsynsbegäran mail.docx", "A 25054-2026")</f>
        <v/>
      </c>
    </row>
    <row r="27" ht="15" customHeight="1">
      <c r="A27" t="inlineStr">
        <is>
          <t>A 42218-2026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46306</v>
      </c>
      <c r="E27" s="1" t="n">
        <v>46317</v>
      </c>
      <c r="F27" t="inlineStr">
        <is>
          <t>SKÅNE LÄN</t>
        </is>
      </c>
      <c r="G27" t="inlineStr">
        <is>
          <t>SVEDALA</t>
        </is>
      </c>
      <c r="I27" t="n">
        <v>0.9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Buskvicker</t>
        </is>
      </c>
      <c r="W27">
        <f>HYPERLINK("https://klasma.github.io/Logging_1263/artfynd/A 42218-2026 artfynd.xlsx", "A 42218-2026")</f>
        <v/>
      </c>
      <c r="X27">
        <f>HYPERLINK("https://klasma.github.io/Logging_1263/kartor/A 42218-2026 karta.png", "A 42218-2026")</f>
        <v/>
      </c>
      <c r="Y27">
        <f>HYPERLINK("https://klasma.github.io/Logging_1263/kartor_geotiff/A 42218-2026 georefererad karta.tif", "A 42218-2026")</f>
        <v/>
      </c>
      <c r="AA27">
        <f>HYPERLINK("https://klasma.github.io/Logging_1263/klagomål/A 42218-2026 FSC-klagomål.docx", "A 42218-2026")</f>
        <v/>
      </c>
      <c r="AB27">
        <f>HYPERLINK("https://klasma.github.io/Logging_1263/klagomålsmail/A 42218-2026 FSC-klagomål mail.docx", "A 42218-2026")</f>
        <v/>
      </c>
      <c r="AC27">
        <f>HYPERLINK("https://klasma.github.io/Logging_1263/tillsyn/A 42218-2026 tillsynsbegäran.docx", "A 42218-2026")</f>
        <v/>
      </c>
      <c r="AD27">
        <f>HYPERLINK("https://klasma.github.io/Logging_1263/tillsynsmail/A 42218-2026 tillsynsbegäran mail.docx", "A 42218-2026")</f>
        <v/>
      </c>
    </row>
    <row r="28" ht="15" customHeight="1">
      <c r="A28" t="inlineStr">
        <is>
          <t>S 1996-2026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46213</v>
      </c>
      <c r="E28" s="1" t="n">
        <v>46317</v>
      </c>
      <c r="F28" t="inlineStr">
        <is>
          <t>SKÅNE LÄN</t>
        </is>
      </c>
      <c r="G28" t="inlineStr">
        <is>
          <t>SVEDALA</t>
        </is>
      </c>
      <c r="I28" t="n">
        <v>6.3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Stare</t>
        </is>
      </c>
      <c r="W28">
        <f>HYPERLINK("https://klasma.github.io/Logging_1263/artfynd/S 1996-2026 artfynd.xlsx", "S 1996-2026")</f>
        <v/>
      </c>
      <c r="X28">
        <f>HYPERLINK("https://klasma.github.io/Logging_1263/kartor/S 1996-2026 karta.png", "S 1996-2026")</f>
        <v/>
      </c>
      <c r="Y28">
        <f>HYPERLINK("https://klasma.github.io/Logging_1263/kartor_geotiff/S 1996-2026 georefererad karta.tif", "S 1996-2026")</f>
        <v/>
      </c>
      <c r="AA28">
        <f>HYPERLINK("https://klasma.github.io/Logging_1263/klagomål/S 1996-2026 FSC-klagomål.docx", "S 1996-2026")</f>
        <v/>
      </c>
      <c r="AB28">
        <f>HYPERLINK("https://klasma.github.io/Logging_1263/klagomålsmail/S 1996-2026 FSC-klagomål mail.docx", "S 1996-2026")</f>
        <v/>
      </c>
      <c r="AC28">
        <f>HYPERLINK("https://klasma.github.io/Logging_1263/tillsyn/S 1996-2026 tillsynsbegäran.docx", "S 1996-2026")</f>
        <v/>
      </c>
      <c r="AD28">
        <f>HYPERLINK("https://klasma.github.io/Logging_1263/tillsynsmail/S 1996-2026 tillsynsbegäran mail.docx", "S 1996-2026")</f>
        <v/>
      </c>
      <c r="AE28">
        <f>HYPERLINK("https://klasma.github.io/Logging_1263/fåglar/S 1996-2026 prioriterade fågelarter.docx", "S 1996-2026")</f>
        <v/>
      </c>
    </row>
    <row r="29" ht="15" customHeight="1">
      <c r="A29" t="inlineStr">
        <is>
          <t>A 21072-2022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44704</v>
      </c>
      <c r="E29" s="1" t="n">
        <v>46317</v>
      </c>
      <c r="F29" t="inlineStr">
        <is>
          <t>SKÅNE LÄN</t>
        </is>
      </c>
      <c r="G29" t="inlineStr">
        <is>
          <t>SVEDALA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25603-2024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45463</v>
      </c>
      <c r="E30" s="1" t="n">
        <v>46317</v>
      </c>
      <c r="F30" t="inlineStr">
        <is>
          <t>SKÅNE LÄN</t>
        </is>
      </c>
      <c r="G30" t="inlineStr">
        <is>
          <t>SVEDALA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31701-2023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46317</v>
      </c>
      <c r="F31" t="inlineStr">
        <is>
          <t>SKÅNE LÄN</t>
        </is>
      </c>
      <c r="G31" t="inlineStr">
        <is>
          <t>SVEDALA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18888-2024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46317</v>
      </c>
      <c r="F32" t="inlineStr">
        <is>
          <t>SKÅNE LÄN</t>
        </is>
      </c>
      <c r="G32" t="inlineStr">
        <is>
          <t>SVEDALA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31693-2023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46317</v>
      </c>
      <c r="F33" t="inlineStr">
        <is>
          <t>SKÅNE LÄN</t>
        </is>
      </c>
      <c r="G33" t="inlineStr">
        <is>
          <t>SVEDALA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46317</v>
      </c>
      <c r="F34" t="inlineStr">
        <is>
          <t>SKÅNE LÄN</t>
        </is>
      </c>
      <c r="G34" t="inlineStr">
        <is>
          <t>SVEDALA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13344-2023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45005</v>
      </c>
      <c r="E35" s="1" t="n">
        <v>46317</v>
      </c>
      <c r="F35" t="inlineStr">
        <is>
          <t>SKÅNE LÄN</t>
        </is>
      </c>
      <c r="G35" t="inlineStr">
        <is>
          <t>SVEDALA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67456-2021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44524</v>
      </c>
      <c r="E36" s="1" t="n">
        <v>46317</v>
      </c>
      <c r="F36" t="inlineStr">
        <is>
          <t>SKÅNE LÄN</t>
        </is>
      </c>
      <c r="G36" t="inlineStr">
        <is>
          <t>SVEDALA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16690-2023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45030</v>
      </c>
      <c r="E37" s="1" t="n">
        <v>46317</v>
      </c>
      <c r="F37" t="inlineStr">
        <is>
          <t>SKÅNE LÄN</t>
        </is>
      </c>
      <c r="G37" t="inlineStr">
        <is>
          <t>SVEDALA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59432-2022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44907</v>
      </c>
      <c r="E38" s="1" t="n">
        <v>46317</v>
      </c>
      <c r="F38" t="inlineStr">
        <is>
          <t>SKÅNE LÄN</t>
        </is>
      </c>
      <c r="G38" t="inlineStr">
        <is>
          <t>SVEDALA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46317</v>
      </c>
      <c r="F39" t="inlineStr">
        <is>
          <t>SKÅNE LÄN</t>
        </is>
      </c>
      <c r="G39" t="inlineStr">
        <is>
          <t>SVEDALA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46317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15577-2024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46317</v>
      </c>
      <c r="F41" t="inlineStr">
        <is>
          <t>SKÅNE LÄN</t>
        </is>
      </c>
      <c r="G41" t="inlineStr">
        <is>
          <t>SVEDALA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64049-2025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46317</v>
      </c>
      <c r="F42" t="inlineStr">
        <is>
          <t>SKÅNE LÄN</t>
        </is>
      </c>
      <c r="G42" t="inlineStr">
        <is>
          <t>SVEDALA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46317</v>
      </c>
      <c r="F43" t="inlineStr">
        <is>
          <t>SKÅNE LÄN</t>
        </is>
      </c>
      <c r="G43" t="inlineStr">
        <is>
          <t>SVEDALA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46317</v>
      </c>
      <c r="F44" t="inlineStr">
        <is>
          <t>SKÅNE LÄN</t>
        </is>
      </c>
      <c r="G44" t="inlineStr">
        <is>
          <t>SVEDALA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46317</v>
      </c>
      <c r="F45" t="inlineStr">
        <is>
          <t>SKÅNE LÄN</t>
        </is>
      </c>
      <c r="G45" t="inlineStr">
        <is>
          <t>SVEDALA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19190-2023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45048</v>
      </c>
      <c r="E46" s="1" t="n">
        <v>46317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16199-2024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45406</v>
      </c>
      <c r="E47" s="1" t="n">
        <v>46317</v>
      </c>
      <c r="F47" t="inlineStr">
        <is>
          <t>SKÅNE LÄN</t>
        </is>
      </c>
      <c r="G47" t="inlineStr">
        <is>
          <t>SVEDALA</t>
        </is>
      </c>
      <c r="I47" t="n">
        <v>13.5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45233</v>
      </c>
      <c r="E48" s="1" t="n">
        <v>46317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19268-2024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45428</v>
      </c>
      <c r="E49" s="1" t="n">
        <v>46317</v>
      </c>
      <c r="F49" t="inlineStr">
        <is>
          <t>SKÅNE LÄN</t>
        </is>
      </c>
      <c r="G49" t="inlineStr">
        <is>
          <t>SVEDALA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46317</v>
      </c>
      <c r="F50" t="inlineStr">
        <is>
          <t>SKÅNE LÄN</t>
        </is>
      </c>
      <c r="G50" t="inlineStr">
        <is>
          <t>SVEDALA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56202-2023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45240</v>
      </c>
      <c r="E51" s="1" t="n">
        <v>46317</v>
      </c>
      <c r="F51" t="inlineStr">
        <is>
          <t>SKÅNE LÄN</t>
        </is>
      </c>
      <c r="G51" t="inlineStr">
        <is>
          <t>SVEDALA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51318-2025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45950</v>
      </c>
      <c r="E52" s="1" t="n">
        <v>46317</v>
      </c>
      <c r="F52" t="inlineStr">
        <is>
          <t>SKÅNE LÄN</t>
        </is>
      </c>
      <c r="G52" t="inlineStr">
        <is>
          <t>SVEDALA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54280-2023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46317</v>
      </c>
      <c r="F53" t="inlineStr">
        <is>
          <t>SKÅNE LÄN</t>
        </is>
      </c>
      <c r="G53" t="inlineStr">
        <is>
          <t>SVEDALA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27844-2026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46191</v>
      </c>
      <c r="E54" s="1" t="n">
        <v>46317</v>
      </c>
      <c r="F54" t="inlineStr">
        <is>
          <t>SKÅNE LÄN</t>
        </is>
      </c>
      <c r="G54" t="inlineStr">
        <is>
          <t>SVEDALA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15277-2024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45400</v>
      </c>
      <c r="E55" s="1" t="n">
        <v>46317</v>
      </c>
      <c r="F55" t="inlineStr">
        <is>
          <t>SKÅNE LÄN</t>
        </is>
      </c>
      <c r="G55" t="inlineStr">
        <is>
          <t>SVEDALA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46317</v>
      </c>
      <c r="F56" t="inlineStr">
        <is>
          <t>SKÅNE LÄN</t>
        </is>
      </c>
      <c r="G56" t="inlineStr">
        <is>
          <t>SVEDALA</t>
        </is>
      </c>
      <c r="I56" t="n">
        <v>8.9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29030-2023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46317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46317</v>
      </c>
      <c r="F58" t="inlineStr">
        <is>
          <t>SKÅNE LÄN</t>
        </is>
      </c>
      <c r="G58" t="inlineStr">
        <is>
          <t>SVEDALA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38844-2026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46317</v>
      </c>
      <c r="F59" t="inlineStr">
        <is>
          <t>SKÅNE LÄN</t>
        </is>
      </c>
      <c r="G59" t="inlineStr">
        <is>
          <t>SVEDALA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38845-2026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46317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46317</v>
      </c>
      <c r="F61" t="inlineStr">
        <is>
          <t>SKÅNE LÄN</t>
        </is>
      </c>
      <c r="G61" t="inlineStr">
        <is>
          <t>SVEDALA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46286</v>
      </c>
      <c r="E62" s="1" t="n">
        <v>46317</v>
      </c>
      <c r="F62" t="inlineStr">
        <is>
          <t>SKÅNE LÄN</t>
        </is>
      </c>
      <c r="G62" t="inlineStr">
        <is>
          <t>SVEDALA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38842-2026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46286</v>
      </c>
      <c r="E63" s="1" t="n">
        <v>46317</v>
      </c>
      <c r="F63" t="inlineStr">
        <is>
          <t>SKÅNE LÄN</t>
        </is>
      </c>
      <c r="G63" t="inlineStr">
        <is>
          <t>SVEDALA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26080-2026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46317</v>
      </c>
      <c r="F64" t="inlineStr">
        <is>
          <t>SKÅNE LÄN</t>
        </is>
      </c>
      <c r="G64" t="inlineStr">
        <is>
          <t>SVEDALA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26073-2026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46317</v>
      </c>
      <c r="F65" t="inlineStr">
        <is>
          <t>SKÅNE LÄN</t>
        </is>
      </c>
      <c r="G65" t="inlineStr">
        <is>
          <t>SVEDALA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46176</v>
      </c>
      <c r="E66" s="1" t="n">
        <v>46317</v>
      </c>
      <c r="F66" t="inlineStr">
        <is>
          <t>SKÅNE LÄN</t>
        </is>
      </c>
      <c r="G66" t="inlineStr">
        <is>
          <t>SVEDALA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S 1997-2026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46317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>
      <c r="A68" t="inlineStr">
        <is>
          <t>S 1995-2026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46213</v>
      </c>
      <c r="E68" s="1" t="n">
        <v>46317</v>
      </c>
      <c r="F68" t="inlineStr">
        <is>
          <t>SKÅNE LÄN</t>
        </is>
      </c>
      <c r="G68" t="inlineStr">
        <is>
          <t>SVEDALA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2026-10-22T01:55:29Z</dcterms:created>
  <dcterms:modified xmlns:dcterms="http://purl.org/dc/terms/" xmlns:xsi="http://www.w3.org/2001/XMLSchema-instance" xsi:type="dcterms:W3CDTF">2026-10-22T01:55:29Z</dcterms:modified>
</cp:coreProperties>
</file>