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46073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46073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46073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16122-2024</t>
        </is>
      </c>
      <c r="B5" s="1" t="n">
        <v>45406.50112268519</v>
      </c>
      <c r="C5" s="1" t="n">
        <v>46073</v>
      </c>
      <c r="D5" t="inlineStr">
        <is>
          <t>SKÅNE LÄN</t>
        </is>
      </c>
      <c r="E5" t="inlineStr">
        <is>
          <t>SVEDALA</t>
        </is>
      </c>
      <c r="G5" t="n">
        <v>15.2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Oxtungssvamp
Myskmadra</t>
        </is>
      </c>
      <c r="S5">
        <f>HYPERLINK("https://klasma.github.io/Logging_1263/artfynd/A 16122-2024 artfynd.xlsx", "A 16122-2024")</f>
        <v/>
      </c>
      <c r="T5">
        <f>HYPERLINK("https://klasma.github.io/Logging_1263/kartor/A 16122-2024 karta.png", "A 16122-2024")</f>
        <v/>
      </c>
      <c r="V5">
        <f>HYPERLINK("https://klasma.github.io/Logging_1263/klagomål/A 16122-2024 FSC-klagomål.docx", "A 16122-2024")</f>
        <v/>
      </c>
      <c r="W5">
        <f>HYPERLINK("https://klasma.github.io/Logging_1263/klagomålsmail/A 16122-2024 FSC-klagomål mail.docx", "A 16122-2024")</f>
        <v/>
      </c>
      <c r="X5">
        <f>HYPERLINK("https://klasma.github.io/Logging_1263/tillsyn/A 16122-2024 tillsynsbegäran.docx", "A 16122-2024")</f>
        <v/>
      </c>
      <c r="Y5">
        <f>HYPERLINK("https://klasma.github.io/Logging_1263/tillsynsmail/A 16122-2024 tillsynsbegäran mail.docx", "A 16122-2024")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46073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46073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15571-2024</t>
        </is>
      </c>
      <c r="B8" s="1" t="n">
        <v>45401</v>
      </c>
      <c r="C8" s="1" t="n">
        <v>46073</v>
      </c>
      <c r="D8" t="inlineStr">
        <is>
          <t>SKÅNE LÄN</t>
        </is>
      </c>
      <c r="E8" t="inlineStr">
        <is>
          <t>SVEDALA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Guldlockmossa</t>
        </is>
      </c>
      <c r="S8">
        <f>HYPERLINK("https://klasma.github.io/Logging_1263/artfynd/A 15571-2024 artfynd.xlsx", "A 15571-2024")</f>
        <v/>
      </c>
      <c r="T8">
        <f>HYPERLINK("https://klasma.github.io/Logging_1263/kartor/A 15571-2024 karta.png", "A 15571-2024")</f>
        <v/>
      </c>
      <c r="V8">
        <f>HYPERLINK("https://klasma.github.io/Logging_1263/klagomål/A 15571-2024 FSC-klagomål.docx", "A 15571-2024")</f>
        <v/>
      </c>
      <c r="W8">
        <f>HYPERLINK("https://klasma.github.io/Logging_1263/klagomålsmail/A 15571-2024 FSC-klagomål mail.docx", "A 15571-2024")</f>
        <v/>
      </c>
      <c r="X8">
        <f>HYPERLINK("https://klasma.github.io/Logging_1263/tillsyn/A 15571-2024 tillsynsbegäran.docx", "A 15571-2024")</f>
        <v/>
      </c>
      <c r="Y8">
        <f>HYPERLINK("https://klasma.github.io/Logging_1263/tillsynsmail/A 15571-2024 tillsynsbegäran mail.docx", "A 15571-2024")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46073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2482-2025</t>
        </is>
      </c>
      <c r="B10" s="1" t="n">
        <v>45674</v>
      </c>
      <c r="C10" s="1" t="n">
        <v>46073</v>
      </c>
      <c r="D10" t="inlineStr">
        <is>
          <t>SKÅNE LÄN</t>
        </is>
      </c>
      <c r="E10" t="inlineStr">
        <is>
          <t>SVEDALA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HYPERLINK("https://klasma.github.io/Logging_1263/artfynd/A 2482-2025 artfynd.xlsx", "A 2482-2025")</f>
        <v/>
      </c>
      <c r="T10">
        <f>HYPERLINK("https://klasma.github.io/Logging_1263/kartor/A 2482-2025 karta.png", "A 2482-2025")</f>
        <v/>
      </c>
      <c r="V10">
        <f>HYPERLINK("https://klasma.github.io/Logging_1263/klagomål/A 2482-2025 FSC-klagomål.docx", "A 2482-2025")</f>
        <v/>
      </c>
      <c r="W10">
        <f>HYPERLINK("https://klasma.github.io/Logging_1263/klagomålsmail/A 2482-2025 FSC-klagomål mail.docx", "A 2482-2025")</f>
        <v/>
      </c>
      <c r="X10">
        <f>HYPERLINK("https://klasma.github.io/Logging_1263/tillsyn/A 2482-2025 tillsynsbegäran.docx", "A 2482-2025")</f>
        <v/>
      </c>
      <c r="Y10">
        <f>HYPERLINK("https://klasma.github.io/Logging_1263/tillsynsmail/A 2482-2025 tillsynsbegäran mail.docx", "A 2482-2025")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46073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46073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27107-2022</t>
        </is>
      </c>
      <c r="B13" s="1" t="n">
        <v>44741</v>
      </c>
      <c r="C13" s="1" t="n">
        <v>46073</v>
      </c>
      <c r="D13" t="inlineStr">
        <is>
          <t>SKÅNE LÄN</t>
        </is>
      </c>
      <c r="E13" t="inlineStr">
        <is>
          <t>SVEDALA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27112-2022</t>
        </is>
      </c>
      <c r="B14" s="1" t="n">
        <v>44741</v>
      </c>
      <c r="C14" s="1" t="n">
        <v>46073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46073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15565-2024</t>
        </is>
      </c>
      <c r="B16" s="1" t="n">
        <v>45401.66103009259</v>
      </c>
      <c r="C16" s="1" t="n">
        <v>46073</v>
      </c>
      <c r="D16" t="inlineStr">
        <is>
          <t>SKÅNE LÄN</t>
        </is>
      </c>
      <c r="E16" t="inlineStr">
        <is>
          <t>SVEDALA</t>
        </is>
      </c>
      <c r="G16" t="n">
        <v>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15582-2024</t>
        </is>
      </c>
      <c r="B17" s="1" t="n">
        <v>45401.69502314815</v>
      </c>
      <c r="C17" s="1" t="n">
        <v>46073</v>
      </c>
      <c r="D17" t="inlineStr">
        <is>
          <t>SKÅNE LÄN</t>
        </is>
      </c>
      <c r="E17" t="inlineStr">
        <is>
          <t>SVEDALA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25603-2024</t>
        </is>
      </c>
      <c r="B18" s="1" t="n">
        <v>45463</v>
      </c>
      <c r="C18" s="1" t="n">
        <v>46073</v>
      </c>
      <c r="D18" t="inlineStr">
        <is>
          <t>SKÅNE LÄN</t>
        </is>
      </c>
      <c r="E18" t="inlineStr">
        <is>
          <t>SVEDALA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31701-2023</t>
        </is>
      </c>
      <c r="B19" s="1" t="n">
        <v>45117</v>
      </c>
      <c r="C19" s="1" t="n">
        <v>46073</v>
      </c>
      <c r="D19" t="inlineStr">
        <is>
          <t>SKÅNE LÄN</t>
        </is>
      </c>
      <c r="E19" t="inlineStr">
        <is>
          <t>SVEDALA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18888-2024</t>
        </is>
      </c>
      <c r="B20" s="1" t="n">
        <v>45427</v>
      </c>
      <c r="C20" s="1" t="n">
        <v>46073</v>
      </c>
      <c r="D20" t="inlineStr">
        <is>
          <t>SKÅNE LÄN</t>
        </is>
      </c>
      <c r="E20" t="inlineStr">
        <is>
          <t>SVEDALA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31393-2021</t>
        </is>
      </c>
      <c r="B21" s="1" t="n">
        <v>44368</v>
      </c>
      <c r="C21" s="1" t="n">
        <v>46073</v>
      </c>
      <c r="D21" t="inlineStr">
        <is>
          <t>SKÅNE LÄN</t>
        </is>
      </c>
      <c r="E21" t="inlineStr">
        <is>
          <t>SVEDALA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31693-2023</t>
        </is>
      </c>
      <c r="B22" s="1" t="n">
        <v>45117</v>
      </c>
      <c r="C22" s="1" t="n">
        <v>46073</v>
      </c>
      <c r="D22" t="inlineStr">
        <is>
          <t>SKÅNE LÄN</t>
        </is>
      </c>
      <c r="E22" t="inlineStr">
        <is>
          <t>SVEDALA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51318-2025</t>
        </is>
      </c>
      <c r="B23" s="1" t="n">
        <v>45950.38170138889</v>
      </c>
      <c r="C23" s="1" t="n">
        <v>46073</v>
      </c>
      <c r="D23" t="inlineStr">
        <is>
          <t>SKÅNE LÄN</t>
        </is>
      </c>
      <c r="E23" t="inlineStr">
        <is>
          <t>SVEDALA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13344-2023</t>
        </is>
      </c>
      <c r="B24" s="1" t="n">
        <v>45005</v>
      </c>
      <c r="C24" s="1" t="n">
        <v>46073</v>
      </c>
      <c r="D24" t="inlineStr">
        <is>
          <t>SKÅNE LÄN</t>
        </is>
      </c>
      <c r="E24" t="inlineStr">
        <is>
          <t>SVEDALA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67456-2021</t>
        </is>
      </c>
      <c r="B25" s="1" t="n">
        <v>44524</v>
      </c>
      <c r="C25" s="1" t="n">
        <v>46073</v>
      </c>
      <c r="D25" t="inlineStr">
        <is>
          <t>SKÅNE LÄN</t>
        </is>
      </c>
      <c r="E25" t="inlineStr">
        <is>
          <t>SVEDALA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2408-2025</t>
        </is>
      </c>
      <c r="B26" s="1" t="n">
        <v>45674.36113425926</v>
      </c>
      <c r="C26" s="1" t="n">
        <v>46073</v>
      </c>
      <c r="D26" t="inlineStr">
        <is>
          <t>SKÅNE LÄN</t>
        </is>
      </c>
      <c r="E26" t="inlineStr">
        <is>
          <t>SVEDALA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2415-2025</t>
        </is>
      </c>
      <c r="B27" s="1" t="n">
        <v>45674.379375</v>
      </c>
      <c r="C27" s="1" t="n">
        <v>46073</v>
      </c>
      <c r="D27" t="inlineStr">
        <is>
          <t>SKÅNE LÄN</t>
        </is>
      </c>
      <c r="E27" t="inlineStr">
        <is>
          <t>SVEDALA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16690-2023</t>
        </is>
      </c>
      <c r="B28" s="1" t="n">
        <v>45030</v>
      </c>
      <c r="C28" s="1" t="n">
        <v>46073</v>
      </c>
      <c r="D28" t="inlineStr">
        <is>
          <t>SKÅNE LÄN</t>
        </is>
      </c>
      <c r="E28" t="inlineStr">
        <is>
          <t>SVEDALA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59432-2022</t>
        </is>
      </c>
      <c r="B29" s="1" t="n">
        <v>44907</v>
      </c>
      <c r="C29" s="1" t="n">
        <v>46073</v>
      </c>
      <c r="D29" t="inlineStr">
        <is>
          <t>SKÅNE LÄN</t>
        </is>
      </c>
      <c r="E29" t="inlineStr">
        <is>
          <t>SVEDALA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57798-2022</t>
        </is>
      </c>
      <c r="B30" s="1" t="n">
        <v>44897</v>
      </c>
      <c r="C30" s="1" t="n">
        <v>46073</v>
      </c>
      <c r="D30" t="inlineStr">
        <is>
          <t>SKÅNE LÄN</t>
        </is>
      </c>
      <c r="E30" t="inlineStr">
        <is>
          <t>SVEDALA</t>
        </is>
      </c>
      <c r="G30" t="n">
        <v>8.9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57803-2022</t>
        </is>
      </c>
      <c r="B31" s="1" t="n">
        <v>44897</v>
      </c>
      <c r="C31" s="1" t="n">
        <v>46073</v>
      </c>
      <c r="D31" t="inlineStr">
        <is>
          <t>SKÅNE LÄN</t>
        </is>
      </c>
      <c r="E31" t="inlineStr">
        <is>
          <t>SVEDALA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58350-2025</t>
        </is>
      </c>
      <c r="B32" s="1" t="n">
        <v>45985.51048611111</v>
      </c>
      <c r="C32" s="1" t="n">
        <v>46073</v>
      </c>
      <c r="D32" t="inlineStr">
        <is>
          <t>SKÅNE LÄN</t>
        </is>
      </c>
      <c r="E32" t="inlineStr">
        <is>
          <t>SVEDALA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29817-2025</t>
        </is>
      </c>
      <c r="B33" s="1" t="n">
        <v>45825</v>
      </c>
      <c r="C33" s="1" t="n">
        <v>46073</v>
      </c>
      <c r="D33" t="inlineStr">
        <is>
          <t>SKÅNE LÄN</t>
        </is>
      </c>
      <c r="E33" t="inlineStr">
        <is>
          <t>SVEDALA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15577-2024</t>
        </is>
      </c>
      <c r="B34" s="1" t="n">
        <v>45401.68829861111</v>
      </c>
      <c r="C34" s="1" t="n">
        <v>46073</v>
      </c>
      <c r="D34" t="inlineStr">
        <is>
          <t>SKÅNE LÄN</t>
        </is>
      </c>
      <c r="E34" t="inlineStr">
        <is>
          <t>SVEDALA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12953-2025</t>
        </is>
      </c>
      <c r="B35" s="1" t="n">
        <v>45734</v>
      </c>
      <c r="C35" s="1" t="n">
        <v>46073</v>
      </c>
      <c r="D35" t="inlineStr">
        <is>
          <t>SKÅNE LÄN</t>
        </is>
      </c>
      <c r="E35" t="inlineStr">
        <is>
          <t>SVEDALA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19190-2023</t>
        </is>
      </c>
      <c r="B36" s="1" t="n">
        <v>45048</v>
      </c>
      <c r="C36" s="1" t="n">
        <v>46073</v>
      </c>
      <c r="D36" t="inlineStr">
        <is>
          <t>SKÅNE LÄN</t>
        </is>
      </c>
      <c r="E36" t="inlineStr">
        <is>
          <t>SVEDALA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16199-2024</t>
        </is>
      </c>
      <c r="B37" s="1" t="n">
        <v>45406</v>
      </c>
      <c r="C37" s="1" t="n">
        <v>46073</v>
      </c>
      <c r="D37" t="inlineStr">
        <is>
          <t>SKÅNE LÄN</t>
        </is>
      </c>
      <c r="E37" t="inlineStr">
        <is>
          <t>SVEDALA</t>
        </is>
      </c>
      <c r="G37" t="n">
        <v>13.5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54580-2023</t>
        </is>
      </c>
      <c r="B38" s="1" t="n">
        <v>45233</v>
      </c>
      <c r="C38" s="1" t="n">
        <v>46073</v>
      </c>
      <c r="D38" t="inlineStr">
        <is>
          <t>SKÅNE LÄN</t>
        </is>
      </c>
      <c r="E38" t="inlineStr">
        <is>
          <t>SVEDALA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64060-2025</t>
        </is>
      </c>
      <c r="B39" s="1" t="n">
        <v>46021.6172337963</v>
      </c>
      <c r="C39" s="1" t="n">
        <v>46073</v>
      </c>
      <c r="D39" t="inlineStr">
        <is>
          <t>SKÅNE LÄN</t>
        </is>
      </c>
      <c r="E39" t="inlineStr">
        <is>
          <t>SVEDALA</t>
        </is>
      </c>
      <c r="G39" t="n">
        <v>6.4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64055-2025</t>
        </is>
      </c>
      <c r="B40" s="1" t="n">
        <v>46021</v>
      </c>
      <c r="C40" s="1" t="n">
        <v>46073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64049-2025</t>
        </is>
      </c>
      <c r="B41" s="1" t="n">
        <v>46021</v>
      </c>
      <c r="C41" s="1" t="n">
        <v>46073</v>
      </c>
      <c r="D41" t="inlineStr">
        <is>
          <t>SKÅNE LÄN</t>
        </is>
      </c>
      <c r="E41" t="inlineStr">
        <is>
          <t>SVEDALA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64051-2025</t>
        </is>
      </c>
      <c r="B42" s="1" t="n">
        <v>46021</v>
      </c>
      <c r="C42" s="1" t="n">
        <v>46073</v>
      </c>
      <c r="D42" t="inlineStr">
        <is>
          <t>SKÅNE LÄN</t>
        </is>
      </c>
      <c r="E42" t="inlineStr">
        <is>
          <t>SVEDALA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64058-2025</t>
        </is>
      </c>
      <c r="B43" s="1" t="n">
        <v>46021</v>
      </c>
      <c r="C43" s="1" t="n">
        <v>46073</v>
      </c>
      <c r="D43" t="inlineStr">
        <is>
          <t>SKÅNE LÄN</t>
        </is>
      </c>
      <c r="E43" t="inlineStr">
        <is>
          <t>SVEDALA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9570-2026</t>
        </is>
      </c>
      <c r="B44" s="1" t="n">
        <v>46070</v>
      </c>
      <c r="C44" s="1" t="n">
        <v>46073</v>
      </c>
      <c r="D44" t="inlineStr">
        <is>
          <t>SKÅNE LÄN</t>
        </is>
      </c>
      <c r="E44" t="inlineStr">
        <is>
          <t>SVEDALA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19268-2024</t>
        </is>
      </c>
      <c r="B45" s="1" t="n">
        <v>45428.63112268518</v>
      </c>
      <c r="C45" s="1" t="n">
        <v>46073</v>
      </c>
      <c r="D45" t="inlineStr">
        <is>
          <t>SKÅNE LÄN</t>
        </is>
      </c>
      <c r="E45" t="inlineStr">
        <is>
          <t>SVEDALA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54284-2023</t>
        </is>
      </c>
      <c r="B46" s="1" t="n">
        <v>45232</v>
      </c>
      <c r="C46" s="1" t="n">
        <v>46073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56202-2023</t>
        </is>
      </c>
      <c r="B47" s="1" t="n">
        <v>45240</v>
      </c>
      <c r="C47" s="1" t="n">
        <v>46073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46073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54280-2023</t>
        </is>
      </c>
      <c r="B49" s="1" t="n">
        <v>45232.69518518518</v>
      </c>
      <c r="C49" s="1" t="n">
        <v>46073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15277-2024</t>
        </is>
      </c>
      <c r="B50" s="1" t="n">
        <v>45400</v>
      </c>
      <c r="C50" s="1" t="n">
        <v>46073</v>
      </c>
      <c r="D50" t="inlineStr">
        <is>
          <t>SKÅNE LÄN</t>
        </is>
      </c>
      <c r="E50" t="inlineStr">
        <is>
          <t>SVEDALA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27113-2022</t>
        </is>
      </c>
      <c r="B51" s="1" t="n">
        <v>44741</v>
      </c>
      <c r="C51" s="1" t="n">
        <v>46073</v>
      </c>
      <c r="D51" t="inlineStr">
        <is>
          <t>SKÅNE LÄN</t>
        </is>
      </c>
      <c r="E51" t="inlineStr">
        <is>
          <t>SVEDALA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29030-2023</t>
        </is>
      </c>
      <c r="B52" s="1" t="n">
        <v>45104</v>
      </c>
      <c r="C52" s="1" t="n">
        <v>46073</v>
      </c>
      <c r="D52" t="inlineStr">
        <is>
          <t>SKÅNE LÄN</t>
        </is>
      </c>
      <c r="E52" t="inlineStr">
        <is>
          <t>SVEDALA</t>
        </is>
      </c>
      <c r="G52" t="n">
        <v>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54282-2023</t>
        </is>
      </c>
      <c r="B53" s="1" t="n">
        <v>45232.69699074074</v>
      </c>
      <c r="C53" s="1" t="n">
        <v>46073</v>
      </c>
      <c r="D53" t="inlineStr">
        <is>
          <t>SKÅNE LÄN</t>
        </is>
      </c>
      <c r="E53" t="inlineStr">
        <is>
          <t>SVEDALA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9277-2025</t>
        </is>
      </c>
      <c r="B54" s="1" t="n">
        <v>45714.63053240741</v>
      </c>
      <c r="C54" s="1" t="n">
        <v>46073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2026-02-20T11:03:27Z</dcterms:created>
  <dcterms:modified xmlns:dcterms="http://purl.org/dc/terms/" xmlns:xsi="http://www.w3.org/2001/XMLSchema-instance" xsi:type="dcterms:W3CDTF">2026-02-20T11:03:27Z</dcterms:modified>
</cp:coreProperties>
</file>