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46322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46322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46322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46322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2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46322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46322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46322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46322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46322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46322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2482-2025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46322</v>
      </c>
      <c r="F12" t="inlineStr">
        <is>
          <t>SKÅNE LÄN</t>
        </is>
      </c>
      <c r="G12" t="inlineStr">
        <is>
          <t>SVEDALA</t>
        </is>
      </c>
      <c r="I12" t="n">
        <v>0.5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Korallticka
Ekoxe</t>
        </is>
      </c>
      <c r="W12">
        <f>HYPERLINK("https://klasma.github.io/Logging_1263/artfynd/A 2482-2025 artfynd.xlsx", "A 2482-2025")</f>
        <v/>
      </c>
      <c r="X12">
        <f>HYPERLINK("https://klasma.github.io/Logging_1263/kartor/A 2482-2025 karta.png", "A 2482-2025")</f>
        <v/>
      </c>
      <c r="Y12">
        <f>HYPERLINK("https://klasma.github.io/Logging_1263/kartor_geotiff/A 2482-2025 georefererad karta.tif", "A 2482-2025")</f>
        <v/>
      </c>
      <c r="AA12">
        <f>HYPERLINK("https://klasma.github.io/Logging_1263/klagomål/A 2482-2025 FSC-klagomål.docx", "A 2482-2025")</f>
        <v/>
      </c>
      <c r="AB12">
        <f>HYPERLINK("https://klasma.github.io/Logging_1263/klagomålsmail/A 2482-2025 FSC-klagomål mail.docx", "A 2482-2025")</f>
        <v/>
      </c>
      <c r="AC12">
        <f>HYPERLINK("https://klasma.github.io/Logging_1263/tillsyn/A 2482-2025 tillsynsbegäran.docx", "A 2482-2025")</f>
        <v/>
      </c>
      <c r="AD12">
        <f>HYPERLINK("https://klasma.github.io/Logging_1263/tillsynsmail/A 2482-2025 tillsynsbegäran mail.docx", "A 2482-2025")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46322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9570-2026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46070</v>
      </c>
      <c r="E14" s="1" t="n">
        <v>46322</v>
      </c>
      <c r="F14" t="inlineStr">
        <is>
          <t>SKÅNE LÄN</t>
        </is>
      </c>
      <c r="G14" t="inlineStr">
        <is>
          <t>SVEDALA</t>
        </is>
      </c>
      <c r="I14" t="n">
        <v>6.6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9570-2026 artfynd.xlsx", "A 9570-2026")</f>
        <v/>
      </c>
      <c r="X14">
        <f>HYPERLINK("https://klasma.github.io/Logging_1263/kartor/A 9570-2026 karta.png", "A 9570-2026")</f>
        <v/>
      </c>
      <c r="Y14">
        <f>HYPERLINK("https://klasma.github.io/Logging_1263/kartor_geotiff/A 9570-2026 georefererad karta.tif", "A 9570-2026")</f>
        <v/>
      </c>
      <c r="AA14">
        <f>HYPERLINK("https://klasma.github.io/Logging_1263/klagomål/A 9570-2026 FSC-klagomål.docx", "A 9570-2026")</f>
        <v/>
      </c>
      <c r="AB14">
        <f>HYPERLINK("https://klasma.github.io/Logging_1263/klagomålsmail/A 9570-2026 FSC-klagomål mail.docx", "A 9570-2026")</f>
        <v/>
      </c>
      <c r="AC14">
        <f>HYPERLINK("https://klasma.github.io/Logging_1263/tillsyn/A 9570-2026 tillsynsbegäran.docx", "A 9570-2026")</f>
        <v/>
      </c>
      <c r="AD14">
        <f>HYPERLINK("https://klasma.github.io/Logging_1263/tillsynsmail/A 9570-2026 tillsynsbegäran mail.docx", "A 9570-2026")</f>
        <v/>
      </c>
    </row>
    <row r="15" ht="15" customHeight="1">
      <c r="A15" t="inlineStr">
        <is>
          <t>A 31697-2023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46322</v>
      </c>
      <c r="F15" t="inlineStr">
        <is>
          <t>SKÅNE LÄN</t>
        </is>
      </c>
      <c r="G15" t="inlineStr">
        <is>
          <t>SVEDALA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31697-2023 artfynd.xlsx", "A 31697-2023")</f>
        <v/>
      </c>
      <c r="X15">
        <f>HYPERLINK("https://klasma.github.io/Logging_1263/kartor/A 31697-2023 karta.png", "A 31697-2023")</f>
        <v/>
      </c>
      <c r="Y15">
        <f>HYPERLINK("https://klasma.github.io/Logging_1263/kartor_geotiff/A 31697-2023 georefererad karta.tif", "A 31697-2023")</f>
        <v/>
      </c>
      <c r="AA15">
        <f>HYPERLINK("https://klasma.github.io/Logging_1263/klagomål/A 31697-2023 FSC-klagomål.docx", "A 31697-2023")</f>
        <v/>
      </c>
      <c r="AB15">
        <f>HYPERLINK("https://klasma.github.io/Logging_1263/klagomålsmail/A 31697-2023 FSC-klagomål mail.docx", "A 31697-2023")</f>
        <v/>
      </c>
      <c r="AC15">
        <f>HYPERLINK("https://klasma.github.io/Logging_1263/tillsyn/A 31697-2023 tillsynsbegäran.docx", "A 31697-2023")</f>
        <v/>
      </c>
      <c r="AD15">
        <f>HYPERLINK("https://klasma.github.io/Logging_1263/tillsynsmail/A 31697-2023 tillsynsbegäran mail.docx", "A 31697-2023")</f>
        <v/>
      </c>
    </row>
    <row r="16" ht="15" customHeight="1">
      <c r="A16" t="inlineStr">
        <is>
          <t>A 38011-2023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45160</v>
      </c>
      <c r="E16" s="1" t="n">
        <v>46322</v>
      </c>
      <c r="F16" t="inlineStr">
        <is>
          <t>SKÅNE LÄN</t>
        </is>
      </c>
      <c r="G16" t="inlineStr">
        <is>
          <t>SVEDALA</t>
        </is>
      </c>
      <c r="I16" t="n">
        <v>2.8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Lökgroda
Skogsknipprot</t>
        </is>
      </c>
      <c r="W16">
        <f>HYPERLINK("https://klasma.github.io/Logging_1263/artfynd/A 38011-2023 artfynd.xlsx", "A 38011-2023")</f>
        <v/>
      </c>
      <c r="X16">
        <f>HYPERLINK("https://klasma.github.io/Logging_1263/kartor/A 38011-2023 karta.png", "A 38011-2023")</f>
        <v/>
      </c>
      <c r="Y16">
        <f>HYPERLINK("https://klasma.github.io/Logging_1263/kartor_geotiff/A 38011-2023 georefererad karta.tif", "A 38011-2023")</f>
        <v/>
      </c>
      <c r="AA16">
        <f>HYPERLINK("https://klasma.github.io/Logging_1263/klagomål/A 38011-2023 FSC-klagomål.docx", "A 38011-2023")</f>
        <v/>
      </c>
      <c r="AB16">
        <f>HYPERLINK("https://klasma.github.io/Logging_1263/klagomålsmail/A 38011-2023 FSC-klagomål mail.docx", "A 38011-2023")</f>
        <v/>
      </c>
      <c r="AC16">
        <f>HYPERLINK("https://klasma.github.io/Logging_1263/tillsyn/A 38011-2023 tillsynsbegäran.docx", "A 38011-2023")</f>
        <v/>
      </c>
      <c r="AD16">
        <f>HYPERLINK("https://klasma.github.io/Logging_1263/tillsynsmail/A 38011-2023 tillsynsbegäran mail.docx", "A 38011-2023")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46322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46322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46322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46322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46322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46322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15582-2024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46322</v>
      </c>
      <c r="F23" t="inlineStr">
        <is>
          <t>SKÅNE LÄN</t>
        </is>
      </c>
      <c r="G23" t="inlineStr">
        <is>
          <t>SVEDALA</t>
        </is>
      </c>
      <c r="I23" t="n">
        <v>7.3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HYPERLINK("https://klasma.github.io/Logging_1263/artfynd/A 15582-2024 artfynd.xlsx", "A 15582-2024")</f>
        <v/>
      </c>
      <c r="X23">
        <f>HYPERLINK("https://klasma.github.io/Logging_1263/kartor/A 15582-2024 karta.png", "A 15582-2024")</f>
        <v/>
      </c>
      <c r="Y23">
        <f>HYPERLINK("https://klasma.github.io/Logging_1263/kartor_geotiff/A 15582-2024 georefererad karta.tif", "A 15582-2024")</f>
        <v/>
      </c>
      <c r="AA23">
        <f>HYPERLINK("https://klasma.github.io/Logging_1263/klagomål/A 15582-2024 FSC-klagomål.docx", "A 15582-2024")</f>
        <v/>
      </c>
      <c r="AB23">
        <f>HYPERLINK("https://klasma.github.io/Logging_1263/klagomålsmail/A 15582-2024 FSC-klagomål mail.docx", "A 15582-2024")</f>
        <v/>
      </c>
      <c r="AC23">
        <f>HYPERLINK("https://klasma.github.io/Logging_1263/tillsyn/A 15582-2024 tillsynsbegäran.docx", "A 15582-2024")</f>
        <v/>
      </c>
      <c r="AD23">
        <f>HYPERLINK("https://klasma.github.io/Logging_1263/tillsynsmail/A 15582-2024 tillsynsbegäran mail.docx", "A 15582-2024")</f>
        <v/>
      </c>
      <c r="AE23">
        <f>HYPERLINK("https://klasma.github.io/Logging_1263/fåglar/A 15582-2024 prioriterade fågelarter.docx", "A 15582-2024")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46322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46322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42218-2026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46306</v>
      </c>
      <c r="E26" s="1" t="n">
        <v>46322</v>
      </c>
      <c r="F26" t="inlineStr">
        <is>
          <t>SKÅNE LÄN</t>
        </is>
      </c>
      <c r="G26" t="inlineStr">
        <is>
          <t>SVEDALA</t>
        </is>
      </c>
      <c r="I26" t="n">
        <v>0.9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Buskvicker</t>
        </is>
      </c>
      <c r="W26">
        <f>HYPERLINK("https://klasma.github.io/Logging_1263/artfynd/A 42218-2026 artfynd.xlsx", "A 42218-2026")</f>
        <v/>
      </c>
      <c r="X26">
        <f>HYPERLINK("https://klasma.github.io/Logging_1263/kartor/A 42218-2026 karta.png", "A 42218-2026")</f>
        <v/>
      </c>
      <c r="Y26">
        <f>HYPERLINK("https://klasma.github.io/Logging_1263/kartor_geotiff/A 42218-2026 georefererad karta.tif", "A 42218-2026")</f>
        <v/>
      </c>
      <c r="AA26">
        <f>HYPERLINK("https://klasma.github.io/Logging_1263/klagomål/A 42218-2026 FSC-klagomål.docx", "A 42218-2026")</f>
        <v/>
      </c>
      <c r="AB26">
        <f>HYPERLINK("https://klasma.github.io/Logging_1263/klagomålsmail/A 42218-2026 FSC-klagomål mail.docx", "A 42218-2026")</f>
        <v/>
      </c>
      <c r="AC26">
        <f>HYPERLINK("https://klasma.github.io/Logging_1263/tillsyn/A 42218-2026 tillsynsbegäran.docx", "A 42218-2026")</f>
        <v/>
      </c>
      <c r="AD26">
        <f>HYPERLINK("https://klasma.github.io/Logging_1263/tillsynsmail/A 42218-2026 tillsynsbegäran mail.docx", "A 42218-2026")</f>
        <v/>
      </c>
    </row>
    <row r="27" ht="15" customHeight="1">
      <c r="A27" t="inlineStr">
        <is>
          <t>A 25054-2026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46322</v>
      </c>
      <c r="F27" t="inlineStr">
        <is>
          <t>SKÅNE LÄN</t>
        </is>
      </c>
      <c r="G27" t="inlineStr">
        <is>
          <t>SVEDALA</t>
        </is>
      </c>
      <c r="I27" t="n">
        <v>3.8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Fransig jordstjärna</t>
        </is>
      </c>
      <c r="W27">
        <f>HYPERLINK("https://klasma.github.io/Logging_1263/artfynd/A 25054-2026 artfynd.xlsx", "A 25054-2026")</f>
        <v/>
      </c>
      <c r="X27">
        <f>HYPERLINK("https://klasma.github.io/Logging_1263/kartor/A 25054-2026 karta.png", "A 25054-2026")</f>
        <v/>
      </c>
      <c r="Y27">
        <f>HYPERLINK("https://klasma.github.io/Logging_1263/kartor_geotiff/A 25054-2026 georefererad karta.tif", "A 25054-2026")</f>
        <v/>
      </c>
      <c r="AA27">
        <f>HYPERLINK("https://klasma.github.io/Logging_1263/klagomål/A 25054-2026 FSC-klagomål.docx", "A 25054-2026")</f>
        <v/>
      </c>
      <c r="AB27">
        <f>HYPERLINK("https://klasma.github.io/Logging_1263/klagomålsmail/A 25054-2026 FSC-klagomål mail.docx", "A 25054-2026")</f>
        <v/>
      </c>
      <c r="AC27">
        <f>HYPERLINK("https://klasma.github.io/Logging_1263/tillsyn/A 25054-2026 tillsynsbegäran.docx", "A 25054-2026")</f>
        <v/>
      </c>
      <c r="AD27">
        <f>HYPERLINK("https://klasma.github.io/Logging_1263/tillsynsmail/A 25054-2026 tillsynsbegäran mail.docx", "A 25054-2026")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46322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46322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13344-2023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45005</v>
      </c>
      <c r="E30" s="1" t="n">
        <v>46322</v>
      </c>
      <c r="F30" t="inlineStr">
        <is>
          <t>SKÅNE LÄN</t>
        </is>
      </c>
      <c r="G30" t="inlineStr">
        <is>
          <t>SVEDALA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19190-2023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45048</v>
      </c>
      <c r="E31" s="1" t="n">
        <v>46322</v>
      </c>
      <c r="F31" t="inlineStr">
        <is>
          <t>SKÅNE LÄN</t>
        </is>
      </c>
      <c r="G31" t="inlineStr">
        <is>
          <t>SVEDALA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29030-2023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46322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46191</v>
      </c>
      <c r="E33" s="1" t="n">
        <v>46322</v>
      </c>
      <c r="F33" t="inlineStr">
        <is>
          <t>SKÅNE LÄN</t>
        </is>
      </c>
      <c r="G33" t="inlineStr">
        <is>
          <t>SVEDALA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46322</v>
      </c>
      <c r="F34" t="inlineStr">
        <is>
          <t>SKÅNE LÄN</t>
        </is>
      </c>
      <c r="G34" t="inlineStr">
        <is>
          <t>SVEDALA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67456-2021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46322</v>
      </c>
      <c r="F35" t="inlineStr">
        <is>
          <t>SKÅNE LÄN</t>
        </is>
      </c>
      <c r="G35" t="inlineStr">
        <is>
          <t>SVEDALA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16690-2023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45030</v>
      </c>
      <c r="E36" s="1" t="n">
        <v>46322</v>
      </c>
      <c r="F36" t="inlineStr">
        <is>
          <t>SKÅNE LÄN</t>
        </is>
      </c>
      <c r="G36" t="inlineStr">
        <is>
          <t>SVEDALA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31701-2023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45117</v>
      </c>
      <c r="E37" s="1" t="n">
        <v>46322</v>
      </c>
      <c r="F37" t="inlineStr">
        <is>
          <t>SKÅNE LÄN</t>
        </is>
      </c>
      <c r="G37" t="inlineStr">
        <is>
          <t>SVEDALA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45240</v>
      </c>
      <c r="E38" s="1" t="n">
        <v>46322</v>
      </c>
      <c r="F38" t="inlineStr">
        <is>
          <t>SKÅNE LÄN</t>
        </is>
      </c>
      <c r="G38" t="inlineStr">
        <is>
          <t>SVEDALA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18888-2024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45427</v>
      </c>
      <c r="E39" s="1" t="n">
        <v>46322</v>
      </c>
      <c r="F39" t="inlineStr">
        <is>
          <t>SKÅNE LÄN</t>
        </is>
      </c>
      <c r="G39" t="inlineStr">
        <is>
          <t>SVEDALA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59432-2022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44907</v>
      </c>
      <c r="E40" s="1" t="n">
        <v>46322</v>
      </c>
      <c r="F40" t="inlineStr">
        <is>
          <t>SKÅNE LÄN</t>
        </is>
      </c>
      <c r="G40" t="inlineStr">
        <is>
          <t>SVEDALA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25603-2024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45463</v>
      </c>
      <c r="E41" s="1" t="n">
        <v>46322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46322</v>
      </c>
      <c r="F42" t="inlineStr">
        <is>
          <t>SKÅNE LÄN</t>
        </is>
      </c>
      <c r="G42" t="inlineStr">
        <is>
          <t>SVEDALA</t>
        </is>
      </c>
      <c r="I42" t="n">
        <v>6.4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46322</v>
      </c>
      <c r="F43" t="inlineStr">
        <is>
          <t>SKÅNE LÄN</t>
        </is>
      </c>
      <c r="G43" t="inlineStr">
        <is>
          <t>SVEDALA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46322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46322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46322</v>
      </c>
      <c r="F46" t="inlineStr">
        <is>
          <t>SKÅNE LÄN</t>
        </is>
      </c>
      <c r="G46" t="inlineStr">
        <is>
          <t>SVEDALA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57798-2022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44897</v>
      </c>
      <c r="E47" s="1" t="n">
        <v>46322</v>
      </c>
      <c r="F47" t="inlineStr">
        <is>
          <t>SKÅNE LÄN</t>
        </is>
      </c>
      <c r="G47" t="inlineStr">
        <is>
          <t>SVEDALA</t>
        </is>
      </c>
      <c r="I47" t="n">
        <v>8.9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57803-2022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46322</v>
      </c>
      <c r="F48" t="inlineStr">
        <is>
          <t>SKÅNE LÄN</t>
        </is>
      </c>
      <c r="G48" t="inlineStr">
        <is>
          <t>SVEDALA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46322</v>
      </c>
      <c r="F49" t="inlineStr">
        <is>
          <t>SKÅNE LÄN</t>
        </is>
      </c>
      <c r="G49" t="inlineStr">
        <is>
          <t>SVEDALA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38844-2026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46286</v>
      </c>
      <c r="E50" s="1" t="n">
        <v>46322</v>
      </c>
      <c r="F50" t="inlineStr">
        <is>
          <t>SKÅNE LÄN</t>
        </is>
      </c>
      <c r="G50" t="inlineStr">
        <is>
          <t>SVEDALA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46286</v>
      </c>
      <c r="E51" s="1" t="n">
        <v>46322</v>
      </c>
      <c r="F51" t="inlineStr">
        <is>
          <t>SKÅNE LÄN</t>
        </is>
      </c>
      <c r="G51" t="inlineStr">
        <is>
          <t>SVEDALA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46286</v>
      </c>
      <c r="E52" s="1" t="n">
        <v>46322</v>
      </c>
      <c r="F52" t="inlineStr">
        <is>
          <t>SKÅNE LÄN</t>
        </is>
      </c>
      <c r="G52" t="inlineStr">
        <is>
          <t>SVEDALA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46322</v>
      </c>
      <c r="F53" t="inlineStr">
        <is>
          <t>SKÅNE LÄN</t>
        </is>
      </c>
      <c r="G53" t="inlineStr">
        <is>
          <t>SVEDALA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46322</v>
      </c>
      <c r="F54" t="inlineStr">
        <is>
          <t>SKÅNE LÄN</t>
        </is>
      </c>
      <c r="G54" t="inlineStr">
        <is>
          <t>SVEDALA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46322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46322</v>
      </c>
      <c r="F56" t="inlineStr">
        <is>
          <t>SKÅNE LÄN</t>
        </is>
      </c>
      <c r="G56" t="inlineStr">
        <is>
          <t>SVEDALA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15277-2024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45400</v>
      </c>
      <c r="E57" s="1" t="n">
        <v>46322</v>
      </c>
      <c r="F57" t="inlineStr">
        <is>
          <t>SKÅNE LÄN</t>
        </is>
      </c>
      <c r="G57" t="inlineStr">
        <is>
          <t>SVEDALA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51318-2025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45950</v>
      </c>
      <c r="E58" s="1" t="n">
        <v>46322</v>
      </c>
      <c r="F58" t="inlineStr">
        <is>
          <t>SKÅNE LÄN</t>
        </is>
      </c>
      <c r="G58" t="inlineStr">
        <is>
          <t>SVEDALA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31693-2023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46322</v>
      </c>
      <c r="F59" t="inlineStr">
        <is>
          <t>SKÅNE LÄN</t>
        </is>
      </c>
      <c r="G59" t="inlineStr">
        <is>
          <t>SVEDALA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15577-2024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45401</v>
      </c>
      <c r="E60" s="1" t="n">
        <v>46322</v>
      </c>
      <c r="F60" t="inlineStr">
        <is>
          <t>SKÅNE LÄN</t>
        </is>
      </c>
      <c r="G60" t="inlineStr">
        <is>
          <t>SVEDALA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46322</v>
      </c>
      <c r="F61" t="inlineStr">
        <is>
          <t>SKÅNE LÄN</t>
        </is>
      </c>
      <c r="G61" t="inlineStr">
        <is>
          <t>SVEDALA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27113-2022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44741</v>
      </c>
      <c r="E62" s="1" t="n">
        <v>46322</v>
      </c>
      <c r="F62" t="inlineStr">
        <is>
          <t>SKÅNE LÄN</t>
        </is>
      </c>
      <c r="G62" t="inlineStr">
        <is>
          <t>SVEDALA</t>
        </is>
      </c>
      <c r="I62" t="n">
        <v>8.9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46176</v>
      </c>
      <c r="E63" s="1" t="n">
        <v>46322</v>
      </c>
      <c r="F63" t="inlineStr">
        <is>
          <t>SKÅNE LÄN</t>
        </is>
      </c>
      <c r="G63" t="inlineStr">
        <is>
          <t>SVEDALA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16199-2024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45406</v>
      </c>
      <c r="E64" s="1" t="n">
        <v>46322</v>
      </c>
      <c r="F64" t="inlineStr">
        <is>
          <t>SKÅNE LÄN</t>
        </is>
      </c>
      <c r="G64" t="inlineStr">
        <is>
          <t>SVEDALA</t>
        </is>
      </c>
      <c r="I64" t="n">
        <v>13.5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46322</v>
      </c>
      <c r="F65" t="inlineStr">
        <is>
          <t>SKÅNE LÄN</t>
        </is>
      </c>
      <c r="G65" t="inlineStr">
        <is>
          <t>SVEDALA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26080-2026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46322</v>
      </c>
      <c r="F66" t="inlineStr">
        <is>
          <t>SKÅNE LÄN</t>
        </is>
      </c>
      <c r="G66" t="inlineStr">
        <is>
          <t>SVEDALA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46322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46322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2026-10-27T03:13:04Z</dcterms:created>
  <dcterms:modified xmlns:dcterms="http://purl.org/dc/terms/" xmlns:xsi="http://www.w3.org/2001/XMLSchema-instance" xsi:type="dcterms:W3CDTF">2026-10-27T03:13:04Z</dcterms:modified>
</cp:coreProperties>
</file>