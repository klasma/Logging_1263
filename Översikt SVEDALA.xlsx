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46269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46269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46269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46269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46269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46269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46269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46269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46269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27107-2022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44741</v>
      </c>
      <c r="E20" s="1" t="n">
        <v>46269</v>
      </c>
      <c r="F20" t="inlineStr">
        <is>
          <t>SKÅNE LÄN</t>
        </is>
      </c>
      <c r="G20" t="inlineStr">
        <is>
          <t>SVEDALA</t>
        </is>
      </c>
      <c r="I20" t="n">
        <v>10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HYPERLINK("https://klasma.github.io/Logging_1263/artfynd/A 27107-2022 artfynd.xlsx", "A 27107-2022")</f>
        <v/>
      </c>
      <c r="X20">
        <f>HYPERLINK("https://klasma.github.io/Logging_1263/kartor/A 27107-2022 karta.png", "A 27107-2022")</f>
        <v/>
      </c>
      <c r="Y20">
        <f>HYPERLINK("https://klasma.github.io/Logging_1263/kartor_geotiff/A 27107-2022 georefererad karta.tif", "A 27107-2022")</f>
        <v/>
      </c>
      <c r="AA20">
        <f>HYPERLINK("https://klasma.github.io/Logging_1263/klagomål/A 27107-2022 FSC-klagomål.docx", "A 27107-2022")</f>
        <v/>
      </c>
      <c r="AB20">
        <f>HYPERLINK("https://klasma.github.io/Logging_1263/klagomålsmail/A 27107-2022 FSC-klagomål mail.docx", "A 27107-2022")</f>
        <v/>
      </c>
      <c r="AC20">
        <f>HYPERLINK("https://klasma.github.io/Logging_1263/tillsyn/A 27107-2022 tillsynsbegäran.docx", "A 27107-2022")</f>
        <v/>
      </c>
      <c r="AD20">
        <f>HYPERLINK("https://klasma.github.io/Logging_1263/tillsynsmail/A 27107-2022 tillsynsbegäran mail.docx", "A 27107-2022")</f>
        <v/>
      </c>
    </row>
    <row r="21" ht="15" customHeight="1">
      <c r="A21" t="inlineStr">
        <is>
          <t>A 18464-2022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46269</v>
      </c>
      <c r="F21" t="inlineStr">
        <is>
          <t>SKÅNE LÄN</t>
        </is>
      </c>
      <c r="G21" t="inlineStr">
        <is>
          <t>SVEDALA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HYPERLINK("https://klasma.github.io/Logging_1263/artfynd/A 18464-2022 artfynd.xlsx", "A 18464-2022")</f>
        <v/>
      </c>
      <c r="X21">
        <f>HYPERLINK("https://klasma.github.io/Logging_1263/kartor/A 18464-2022 karta.png", "A 18464-2022")</f>
        <v/>
      </c>
      <c r="Y21">
        <f>HYPERLINK("https://klasma.github.io/Logging_1263/kartor_geotiff/A 18464-2022 georefererad karta.tif", "A 18464-2022")</f>
        <v/>
      </c>
      <c r="AA21">
        <f>HYPERLINK("https://klasma.github.io/Logging_1263/klagomål/A 18464-2022 FSC-klagomål.docx", "A 18464-2022")</f>
        <v/>
      </c>
      <c r="AB21">
        <f>HYPERLINK("https://klasma.github.io/Logging_1263/klagomålsmail/A 18464-2022 FSC-klagomål mail.docx", "A 18464-2022")</f>
        <v/>
      </c>
      <c r="AC21">
        <f>HYPERLINK("https://klasma.github.io/Logging_1263/tillsyn/A 18464-2022 tillsynsbegäran.docx", "A 18464-2022")</f>
        <v/>
      </c>
      <c r="AD21">
        <f>HYPERLINK("https://klasma.github.io/Logging_1263/tillsynsmail/A 18464-2022 tillsynsbegäran mail.docx", "A 18464-2022")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46269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46269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46269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46269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46269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59432-2022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44907</v>
      </c>
      <c r="E28" s="1" t="n">
        <v>46269</v>
      </c>
      <c r="F28" t="inlineStr">
        <is>
          <t>SKÅNE LÄN</t>
        </is>
      </c>
      <c r="G28" t="inlineStr">
        <is>
          <t>SVEDALA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57798-2022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46269</v>
      </c>
      <c r="F29" t="inlineStr">
        <is>
          <t>SKÅNE LÄN</t>
        </is>
      </c>
      <c r="G29" t="inlineStr">
        <is>
          <t>SVEDALA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57803-2022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44897</v>
      </c>
      <c r="E30" s="1" t="n">
        <v>46269</v>
      </c>
      <c r="F30" t="inlineStr">
        <is>
          <t>SKÅNE LÄN</t>
        </is>
      </c>
      <c r="G30" t="inlineStr">
        <is>
          <t>SVEDALA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15577-2024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46269</v>
      </c>
      <c r="F31" t="inlineStr">
        <is>
          <t>SKÅNE LÄN</t>
        </is>
      </c>
      <c r="G31" t="inlineStr">
        <is>
          <t>SVEDALA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18888-2024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46269</v>
      </c>
      <c r="F32" t="inlineStr">
        <is>
          <t>SKÅNE LÄN</t>
        </is>
      </c>
      <c r="G32" t="inlineStr">
        <is>
          <t>SVEDALA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46269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31701-2023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46269</v>
      </c>
      <c r="F34" t="inlineStr">
        <is>
          <t>SKÅNE LÄN</t>
        </is>
      </c>
      <c r="G34" t="inlineStr">
        <is>
          <t>SVEDALA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46269</v>
      </c>
      <c r="F35" t="inlineStr">
        <is>
          <t>SKÅNE LÄN</t>
        </is>
      </c>
      <c r="G35" t="inlineStr">
        <is>
          <t>SVEDALA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13344-2023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45005</v>
      </c>
      <c r="E36" s="1" t="n">
        <v>46269</v>
      </c>
      <c r="F36" t="inlineStr">
        <is>
          <t>SKÅNE LÄN</t>
        </is>
      </c>
      <c r="G36" t="inlineStr">
        <is>
          <t>SVEDALA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45240</v>
      </c>
      <c r="E37" s="1" t="n">
        <v>46269</v>
      </c>
      <c r="F37" t="inlineStr">
        <is>
          <t>SKÅNE LÄN</t>
        </is>
      </c>
      <c r="G37" t="inlineStr">
        <is>
          <t>SVEDALA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67456-2021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44524</v>
      </c>
      <c r="E38" s="1" t="n">
        <v>46269</v>
      </c>
      <c r="F38" t="inlineStr">
        <is>
          <t>SKÅNE LÄN</t>
        </is>
      </c>
      <c r="G38" t="inlineStr">
        <is>
          <t>SVEDALA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19190-2023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45048</v>
      </c>
      <c r="E39" s="1" t="n">
        <v>46269</v>
      </c>
      <c r="F39" t="inlineStr">
        <is>
          <t>SKÅNE LÄN</t>
        </is>
      </c>
      <c r="G39" t="inlineStr">
        <is>
          <t>SVEDALA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46269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46269</v>
      </c>
      <c r="F41" t="inlineStr">
        <is>
          <t>SKÅNE LÄN</t>
        </is>
      </c>
      <c r="G41" t="inlineStr">
        <is>
          <t>SVEDALA</t>
        </is>
      </c>
      <c r="I41" t="n">
        <v>13.5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46269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46269</v>
      </c>
      <c r="F43" t="inlineStr">
        <is>
          <t>SKÅNE LÄN</t>
        </is>
      </c>
      <c r="G43" t="inlineStr">
        <is>
          <t>SVEDALA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46269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46269</v>
      </c>
      <c r="F45" t="inlineStr">
        <is>
          <t>SKÅNE LÄN</t>
        </is>
      </c>
      <c r="G45" t="inlineStr">
        <is>
          <t>SVEDALA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45400</v>
      </c>
      <c r="E46" s="1" t="n">
        <v>46269</v>
      </c>
      <c r="F46" t="inlineStr">
        <is>
          <t>SKÅNE LÄN</t>
        </is>
      </c>
      <c r="G46" t="inlineStr">
        <is>
          <t>SVEDALA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45950</v>
      </c>
      <c r="E47" s="1" t="n">
        <v>46269</v>
      </c>
      <c r="F47" t="inlineStr">
        <is>
          <t>SKÅNE LÄN</t>
        </is>
      </c>
      <c r="G47" t="inlineStr">
        <is>
          <t>SVEDALA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46269</v>
      </c>
      <c r="F48" t="inlineStr">
        <is>
          <t>SKÅNE LÄN</t>
        </is>
      </c>
      <c r="G48" t="inlineStr">
        <is>
          <t>SVEDALA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46269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46269</v>
      </c>
      <c r="F50" t="inlineStr">
        <is>
          <t>SKÅNE LÄN</t>
        </is>
      </c>
      <c r="G50" t="inlineStr">
        <is>
          <t>SVEDALA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46269</v>
      </c>
      <c r="F51" t="inlineStr">
        <is>
          <t>SKÅNE LÄN</t>
        </is>
      </c>
      <c r="G51" t="inlineStr">
        <is>
          <t>SVEDALA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46269</v>
      </c>
      <c r="F52" t="inlineStr">
        <is>
          <t>SKÅNE LÄN</t>
        </is>
      </c>
      <c r="G52" t="inlineStr">
        <is>
          <t>SVEDALA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46269</v>
      </c>
      <c r="F53" t="inlineStr">
        <is>
          <t>SKÅNE LÄN</t>
        </is>
      </c>
      <c r="G53" t="inlineStr">
        <is>
          <t>SVEDALA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46269</v>
      </c>
      <c r="F54" t="inlineStr">
        <is>
          <t>SKÅNE LÄN</t>
        </is>
      </c>
      <c r="G54" t="inlineStr">
        <is>
          <t>SVEDALA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46269</v>
      </c>
      <c r="F55" t="inlineStr">
        <is>
          <t>SKÅNE LÄN</t>
        </is>
      </c>
      <c r="G55" t="inlineStr">
        <is>
          <t>SVEDALA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46269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46269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46269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25275-2026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46269</v>
      </c>
      <c r="F59" t="inlineStr">
        <is>
          <t>SKÅNE LÄN</t>
        </is>
      </c>
      <c r="G59" t="inlineStr">
        <is>
          <t>SVEDALA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46269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46269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2026-09-04T02:07:50Z</dcterms:created>
  <dcterms:modified xmlns:dcterms="http://purl.org/dc/terms/" xmlns:xsi="http://www.w3.org/2001/XMLSchema-instance" xsi:type="dcterms:W3CDTF">2026-09-04T02:07:50Z</dcterms:modified>
</cp:coreProperties>
</file>