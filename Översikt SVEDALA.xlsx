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46131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46131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46131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16122-2024</t>
        </is>
      </c>
      <c r="B5" s="1" t="n">
        <v>45406.50112268519</v>
      </c>
      <c r="C5" s="1" t="n">
        <v>46131</v>
      </c>
      <c r="D5" t="inlineStr">
        <is>
          <t>SKÅNE LÄN</t>
        </is>
      </c>
      <c r="E5" t="inlineStr">
        <is>
          <t>SVEDALA</t>
        </is>
      </c>
      <c r="G5" t="n">
        <v>15.2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Myskmadra</t>
        </is>
      </c>
      <c r="S5">
        <f>HYPERLINK("https://klasma.github.io/Logging_1263/artfynd/A 16122-2024 artfynd.xlsx", "A 16122-2024")</f>
        <v/>
      </c>
      <c r="T5">
        <f>HYPERLINK("https://klasma.github.io/Logging_1263/kartor/A 16122-2024 karta.png", "A 16122-2024")</f>
        <v/>
      </c>
      <c r="V5">
        <f>HYPERLINK("https://klasma.github.io/Logging_1263/klagomål/A 16122-2024 FSC-klagomål.docx", "A 16122-2024")</f>
        <v/>
      </c>
      <c r="W5">
        <f>HYPERLINK("https://klasma.github.io/Logging_1263/klagomålsmail/A 16122-2024 FSC-klagomål mail.docx", "A 16122-2024")</f>
        <v/>
      </c>
      <c r="X5">
        <f>HYPERLINK("https://klasma.github.io/Logging_1263/tillsyn/A 16122-2024 tillsynsbegäran.docx", "A 16122-2024")</f>
        <v/>
      </c>
      <c r="Y5">
        <f>HYPERLINK("https://klasma.github.io/Logging_1263/tillsynsmail/A 16122-2024 tillsynsbegäran mail.docx", "A 16122-2024")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46131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46131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46131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46131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46131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58350-2025</t>
        </is>
      </c>
      <c r="B11" s="1" t="n">
        <v>45985.51048611111</v>
      </c>
      <c r="C11" s="1" t="n">
        <v>46131</v>
      </c>
      <c r="D11" t="inlineStr">
        <is>
          <t>SKÅNE LÄN</t>
        </is>
      </c>
      <c r="E11" t="inlineStr">
        <is>
          <t>SVEDALA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HYPERLINK("https://klasma.github.io/Logging_1263/artfynd/A 58350-2025 artfynd.xlsx", "A 58350-2025")</f>
        <v/>
      </c>
      <c r="T11">
        <f>HYPERLINK("https://klasma.github.io/Logging_1263/kartor/A 58350-2025 karta.png", "A 58350-2025")</f>
        <v/>
      </c>
      <c r="V11">
        <f>HYPERLINK("https://klasma.github.io/Logging_1263/klagomål/A 58350-2025 FSC-klagomål.docx", "A 58350-2025")</f>
        <v/>
      </c>
      <c r="W11">
        <f>HYPERLINK("https://klasma.github.io/Logging_1263/klagomålsmail/A 58350-2025 FSC-klagomål mail.docx", "A 58350-2025")</f>
        <v/>
      </c>
      <c r="X11">
        <f>HYPERLINK("https://klasma.github.io/Logging_1263/tillsyn/A 58350-2025 tillsynsbegäran.docx", "A 58350-2025")</f>
        <v/>
      </c>
      <c r="Y11">
        <f>HYPERLINK("https://klasma.github.io/Logging_1263/tillsynsmail/A 58350-2025 tillsynsbegäran mail.docx", "A 58350-2025")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46131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46131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46131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46131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46131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46131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46131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51318-2025</t>
        </is>
      </c>
      <c r="B19" s="1" t="n">
        <v>45950.38170138889</v>
      </c>
      <c r="C19" s="1" t="n">
        <v>46131</v>
      </c>
      <c r="D19" t="inlineStr">
        <is>
          <t>SKÅNE LÄN</t>
        </is>
      </c>
      <c r="E19" t="inlineStr">
        <is>
          <t>SVEDALA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46131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46131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18888-2024</t>
        </is>
      </c>
      <c r="B22" s="1" t="n">
        <v>45427</v>
      </c>
      <c r="C22" s="1" t="n">
        <v>46131</v>
      </c>
      <c r="D22" t="inlineStr">
        <is>
          <t>SKÅNE LÄN</t>
        </is>
      </c>
      <c r="E22" t="inlineStr">
        <is>
          <t>SVEDALA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46131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46131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46131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46131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2408-2025</t>
        </is>
      </c>
      <c r="B27" s="1" t="n">
        <v>45674.36113425926</v>
      </c>
      <c r="C27" s="1" t="n">
        <v>46131</v>
      </c>
      <c r="D27" t="inlineStr">
        <is>
          <t>SKÅNE LÄN</t>
        </is>
      </c>
      <c r="E27" t="inlineStr">
        <is>
          <t>SVEDALA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2415-2025</t>
        </is>
      </c>
      <c r="B28" s="1" t="n">
        <v>45674.379375</v>
      </c>
      <c r="C28" s="1" t="n">
        <v>46131</v>
      </c>
      <c r="D28" t="inlineStr">
        <is>
          <t>SKÅNE LÄN</t>
        </is>
      </c>
      <c r="E28" t="inlineStr">
        <is>
          <t>SVEDALA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16690-2023</t>
        </is>
      </c>
      <c r="B29" s="1" t="n">
        <v>45030</v>
      </c>
      <c r="C29" s="1" t="n">
        <v>46131</v>
      </c>
      <c r="D29" t="inlineStr">
        <is>
          <t>SKÅNE LÄN</t>
        </is>
      </c>
      <c r="E29" t="inlineStr">
        <is>
          <t>SVEDALA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46131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46131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46131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15577-2024</t>
        </is>
      </c>
      <c r="B33" s="1" t="n">
        <v>45401.68829861111</v>
      </c>
      <c r="C33" s="1" t="n">
        <v>46131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29817-2025</t>
        </is>
      </c>
      <c r="B34" s="1" t="n">
        <v>45825</v>
      </c>
      <c r="C34" s="1" t="n">
        <v>46131</v>
      </c>
      <c r="D34" t="inlineStr">
        <is>
          <t>SKÅNE LÄN</t>
        </is>
      </c>
      <c r="E34" t="inlineStr">
        <is>
          <t>SVEDALA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12953-2025</t>
        </is>
      </c>
      <c r="B35" s="1" t="n">
        <v>45734</v>
      </c>
      <c r="C35" s="1" t="n">
        <v>46131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46131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46131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46131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64060-2025</t>
        </is>
      </c>
      <c r="B39" s="1" t="n">
        <v>46021.6172337963</v>
      </c>
      <c r="C39" s="1" t="n">
        <v>46131</v>
      </c>
      <c r="D39" t="inlineStr">
        <is>
          <t>SKÅNE LÄN</t>
        </is>
      </c>
      <c r="E39" t="inlineStr">
        <is>
          <t>SVEDALA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64049-2025</t>
        </is>
      </c>
      <c r="B40" s="1" t="n">
        <v>46021</v>
      </c>
      <c r="C40" s="1" t="n">
        <v>46131</v>
      </c>
      <c r="D40" t="inlineStr">
        <is>
          <t>SKÅNE LÄN</t>
        </is>
      </c>
      <c r="E40" t="inlineStr">
        <is>
          <t>SVEDALA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64051-2025</t>
        </is>
      </c>
      <c r="B41" s="1" t="n">
        <v>46021</v>
      </c>
      <c r="C41" s="1" t="n">
        <v>46131</v>
      </c>
      <c r="D41" t="inlineStr">
        <is>
          <t>SKÅNE LÄN</t>
        </is>
      </c>
      <c r="E41" t="inlineStr">
        <is>
          <t>SVEDALA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64055-2025</t>
        </is>
      </c>
      <c r="B42" s="1" t="n">
        <v>46021</v>
      </c>
      <c r="C42" s="1" t="n">
        <v>46131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64058-2025</t>
        </is>
      </c>
      <c r="B43" s="1" t="n">
        <v>46021</v>
      </c>
      <c r="C43" s="1" t="n">
        <v>46131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46131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46131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56202-2023</t>
        </is>
      </c>
      <c r="B46" s="1" t="n">
        <v>45240</v>
      </c>
      <c r="C46" s="1" t="n">
        <v>46131</v>
      </c>
      <c r="D46" t="inlineStr">
        <is>
          <t>SKÅNE LÄN</t>
        </is>
      </c>
      <c r="E46" t="inlineStr">
        <is>
          <t>SVEDALA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46131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54280-2023</t>
        </is>
      </c>
      <c r="B48" s="1" t="n">
        <v>45232.69518518518</v>
      </c>
      <c r="C48" s="1" t="n">
        <v>46131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9570-2026</t>
        </is>
      </c>
      <c r="B49" s="1" t="n">
        <v>46070</v>
      </c>
      <c r="C49" s="1" t="n">
        <v>46131</v>
      </c>
      <c r="D49" t="inlineStr">
        <is>
          <t>SKÅNE LÄN</t>
        </is>
      </c>
      <c r="E49" t="inlineStr">
        <is>
          <t>SVEDALA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46131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46131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46131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46131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46131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2026-04-19T10:26:16Z</dcterms:created>
  <dcterms:modified xmlns:dcterms="http://purl.org/dc/terms/" xmlns:xsi="http://www.w3.org/2001/XMLSchema-instance" xsi:type="dcterms:W3CDTF">2026-04-19T10:26:16Z</dcterms:modified>
</cp:coreProperties>
</file>