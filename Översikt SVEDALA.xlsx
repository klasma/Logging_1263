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46284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46284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46284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46284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15565-2024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46284</v>
      </c>
      <c r="F14" t="inlineStr">
        <is>
          <t>SKÅNE LÄN</t>
        </is>
      </c>
      <c r="G14" t="inlineStr">
        <is>
          <t>SVEDALA</t>
        </is>
      </c>
      <c r="I14" t="n">
        <v>7</v>
      </c>
      <c r="J14" t="n">
        <v>0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4</v>
      </c>
      <c r="U14" t="n">
        <v>2</v>
      </c>
      <c r="V14" s="2" t="inlineStr">
        <is>
          <t>Skogsalm
Igelkott</t>
        </is>
      </c>
      <c r="W14">
        <f>HYPERLINK("https://klasma.github.io/Logging_1263/artfynd/A 15565-2024 artfynd.xlsx", "A 15565-2024")</f>
        <v/>
      </c>
      <c r="X14">
        <f>HYPERLINK("https://klasma.github.io/Logging_1263/kartor/A 15565-2024 karta.png", "A 15565-2024")</f>
        <v/>
      </c>
      <c r="Y14">
        <f>HYPERLINK("https://klasma.github.io/Logging_1263/kartor_geotiff/A 15565-2024 georefererad karta.tif", "A 15565-2024")</f>
        <v/>
      </c>
      <c r="AA14">
        <f>HYPERLINK("https://klasma.github.io/Logging_1263/klagomål/A 15565-2024 FSC-klagomål.docx", "A 15565-2024")</f>
        <v/>
      </c>
      <c r="AB14">
        <f>HYPERLINK("https://klasma.github.io/Logging_1263/klagomålsmail/A 15565-2024 FSC-klagomål mail.docx", "A 15565-2024")</f>
        <v/>
      </c>
      <c r="AC14">
        <f>HYPERLINK("https://klasma.github.io/Logging_1263/tillsyn/A 15565-2024 tillsynsbegäran.docx", "A 15565-2024")</f>
        <v/>
      </c>
      <c r="AD14">
        <f>HYPERLINK("https://klasma.github.io/Logging_1263/tillsynsmail/A 15565-2024 tillsynsbegäran mail.docx", "A 15565-2024")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46284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46284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46284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46284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46284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46284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46284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46284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46284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46284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46284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46284</v>
      </c>
      <c r="F31" t="inlineStr">
        <is>
          <t>SKÅNE LÄN</t>
        </is>
      </c>
      <c r="G31" t="inlineStr">
        <is>
          <t>SVEDALA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46284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44897</v>
      </c>
      <c r="E33" s="1" t="n">
        <v>46284</v>
      </c>
      <c r="F33" t="inlineStr">
        <is>
          <t>SKÅNE LÄN</t>
        </is>
      </c>
      <c r="G33" t="inlineStr">
        <is>
          <t>SVEDALA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57803-2022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46284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46284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45233</v>
      </c>
      <c r="E36" s="1" t="n">
        <v>46284</v>
      </c>
      <c r="F36" t="inlineStr">
        <is>
          <t>SKÅNE LÄN</t>
        </is>
      </c>
      <c r="G36" t="inlineStr">
        <is>
          <t>SVEDALA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46284</v>
      </c>
      <c r="F37" t="inlineStr">
        <is>
          <t>SKÅNE LÄN</t>
        </is>
      </c>
      <c r="G37" t="inlineStr">
        <is>
          <t>SVEDALA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45400</v>
      </c>
      <c r="E38" s="1" t="n">
        <v>46284</v>
      </c>
      <c r="F38" t="inlineStr">
        <is>
          <t>SKÅNE LÄN</t>
        </is>
      </c>
      <c r="G38" t="inlineStr">
        <is>
          <t>SVEDALA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46284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46284</v>
      </c>
      <c r="F40" t="inlineStr">
        <is>
          <t>SKÅNE LÄN</t>
        </is>
      </c>
      <c r="G40" t="inlineStr">
        <is>
          <t>SVEDALA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46284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46284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46284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46284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46284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46284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46284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46284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46284</v>
      </c>
      <c r="F49" t="inlineStr">
        <is>
          <t>SKÅNE LÄN</t>
        </is>
      </c>
      <c r="G49" t="inlineStr">
        <is>
          <t>SVEDALA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46284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46284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46284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46284</v>
      </c>
      <c r="F53" t="inlineStr">
        <is>
          <t>SKÅNE LÄN</t>
        </is>
      </c>
      <c r="G53" t="inlineStr">
        <is>
          <t>SVEDALA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44524</v>
      </c>
      <c r="E54" s="1" t="n">
        <v>46284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46284</v>
      </c>
      <c r="F55" t="inlineStr">
        <is>
          <t>SKÅNE LÄN</t>
        </is>
      </c>
      <c r="G55" t="inlineStr">
        <is>
          <t>SVEDALA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46284</v>
      </c>
      <c r="F56" t="inlineStr">
        <is>
          <t>SKÅNE LÄN</t>
        </is>
      </c>
      <c r="G56" t="inlineStr">
        <is>
          <t>SVEDALA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46284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46284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26073-2026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46284</v>
      </c>
      <c r="F59" t="inlineStr">
        <is>
          <t>SKÅNE LÄN</t>
        </is>
      </c>
      <c r="G59" t="inlineStr">
        <is>
          <t>SVEDALA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46284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46284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