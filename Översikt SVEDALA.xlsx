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45734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45734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27244-2024</t>
        </is>
      </c>
      <c r="B4" s="1" t="n">
        <v>45471</v>
      </c>
      <c r="C4" s="1" t="n">
        <v>45734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30713-2019</t>
        </is>
      </c>
      <c r="B5" s="1" t="n">
        <v>43636</v>
      </c>
      <c r="C5" s="1" t="n">
        <v>45734</v>
      </c>
      <c r="D5" t="inlineStr">
        <is>
          <t>SKÅNE LÄN</t>
        </is>
      </c>
      <c r="E5" t="inlineStr">
        <is>
          <t>SVEDALA</t>
        </is>
      </c>
      <c r="G5" t="n">
        <v>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Kragjordstjärna
Stor häxört</t>
        </is>
      </c>
      <c r="S5">
        <f>HYPERLINK("https://klasma.github.io/Logging_1263/artfynd/A 30713-2019 artfynd.xlsx", "A 30713-2019")</f>
        <v/>
      </c>
      <c r="T5">
        <f>HYPERLINK("https://klasma.github.io/Logging_1263/kartor/A 30713-2019 karta.png", "A 30713-2019")</f>
        <v/>
      </c>
      <c r="V5">
        <f>HYPERLINK("https://klasma.github.io/Logging_1263/klagomål/A 30713-2019 FSC-klagomål.docx", "A 30713-2019")</f>
        <v/>
      </c>
      <c r="W5">
        <f>HYPERLINK("https://klasma.github.io/Logging_1263/klagomålsmail/A 30713-2019 FSC-klagomål mail.docx", "A 30713-2019")</f>
        <v/>
      </c>
      <c r="X5">
        <f>HYPERLINK("https://klasma.github.io/Logging_1263/tillsyn/A 30713-2019 tillsynsbegäran.docx", "A 30713-2019")</f>
        <v/>
      </c>
      <c r="Y5">
        <f>HYPERLINK("https://klasma.github.io/Logging_1263/tillsynsmail/A 30713-2019 tillsynsbegäran mail.docx", "A 30713-2019")</f>
        <v/>
      </c>
    </row>
    <row r="6" ht="15" customHeight="1">
      <c r="A6" t="inlineStr">
        <is>
          <t>A 18228-2020</t>
        </is>
      </c>
      <c r="B6" s="1" t="n">
        <v>43928</v>
      </c>
      <c r="C6" s="1" t="n">
        <v>45734</v>
      </c>
      <c r="D6" t="inlineStr">
        <is>
          <t>SKÅNE LÄN</t>
        </is>
      </c>
      <c r="E6" t="inlineStr">
        <is>
          <t>SVEDALA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Ädellav
Bokkantlav</t>
        </is>
      </c>
      <c r="S6">
        <f>HYPERLINK("https://klasma.github.io/Logging_1263/artfynd/A 18228-2020 artfynd.xlsx", "A 18228-2020")</f>
        <v/>
      </c>
      <c r="T6">
        <f>HYPERLINK("https://klasma.github.io/Logging_1263/kartor/A 18228-2020 karta.png", "A 18228-2020")</f>
        <v/>
      </c>
      <c r="V6">
        <f>HYPERLINK("https://klasma.github.io/Logging_1263/klagomål/A 18228-2020 FSC-klagomål.docx", "A 18228-2020")</f>
        <v/>
      </c>
      <c r="W6">
        <f>HYPERLINK("https://klasma.github.io/Logging_1263/klagomålsmail/A 18228-2020 FSC-klagomål mail.docx", "A 18228-2020")</f>
        <v/>
      </c>
      <c r="X6">
        <f>HYPERLINK("https://klasma.github.io/Logging_1263/tillsyn/A 18228-2020 tillsynsbegäran.docx", "A 18228-2020")</f>
        <v/>
      </c>
      <c r="Y6">
        <f>HYPERLINK("https://klasma.github.io/Logging_1263/tillsynsmail/A 18228-2020 tillsynsbegäran mail.docx", "A 18228-2020")</f>
        <v/>
      </c>
    </row>
    <row r="7" ht="15" customHeight="1">
      <c r="A7" t="inlineStr">
        <is>
          <t>A 5244-2021</t>
        </is>
      </c>
      <c r="B7" s="1" t="n">
        <v>44229</v>
      </c>
      <c r="C7" s="1" t="n">
        <v>45734</v>
      </c>
      <c r="D7" t="inlineStr">
        <is>
          <t>SKÅNE LÄN</t>
        </is>
      </c>
      <c r="E7" t="inlineStr">
        <is>
          <t>SVEDALA</t>
        </is>
      </c>
      <c r="G7" t="n">
        <v>5.3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Safsa</t>
        </is>
      </c>
      <c r="S7">
        <f>HYPERLINK("https://klasma.github.io/Logging_1263/artfynd/A 5244-2021 artfynd.xlsx", "A 5244-2021")</f>
        <v/>
      </c>
      <c r="T7">
        <f>HYPERLINK("https://klasma.github.io/Logging_1263/kartor/A 5244-2021 karta.png", "A 5244-2021")</f>
        <v/>
      </c>
      <c r="V7">
        <f>HYPERLINK("https://klasma.github.io/Logging_1263/klagomål/A 5244-2021 FSC-klagomål.docx", "A 5244-2021")</f>
        <v/>
      </c>
      <c r="W7">
        <f>HYPERLINK("https://klasma.github.io/Logging_1263/klagomålsmail/A 5244-2021 FSC-klagomål mail.docx", "A 5244-2021")</f>
        <v/>
      </c>
      <c r="X7">
        <f>HYPERLINK("https://klasma.github.io/Logging_1263/tillsyn/A 5244-2021 tillsynsbegäran.docx", "A 5244-2021")</f>
        <v/>
      </c>
      <c r="Y7">
        <f>HYPERLINK("https://klasma.github.io/Logging_1263/tillsynsmail/A 5244-2021 tillsynsbegäran mail.docx", "A 5244-2021")</f>
        <v/>
      </c>
    </row>
    <row r="8" ht="15" customHeight="1">
      <c r="A8" t="inlineStr">
        <is>
          <t>A 29029-2023</t>
        </is>
      </c>
      <c r="B8" s="1" t="n">
        <v>45104</v>
      </c>
      <c r="C8" s="1" t="n">
        <v>45734</v>
      </c>
      <c r="D8" t="inlineStr">
        <is>
          <t>SKÅNE LÄN</t>
        </is>
      </c>
      <c r="E8" t="inlineStr">
        <is>
          <t>SVEDALA</t>
        </is>
      </c>
      <c r="G8" t="n">
        <v>22.3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Citronfläckad kärrtrollslända
Ätlig groda</t>
        </is>
      </c>
      <c r="S8">
        <f>HYPERLINK("https://klasma.github.io/Logging_1263/artfynd/A 29029-2023 artfynd.xlsx", "A 29029-2023")</f>
        <v/>
      </c>
      <c r="T8">
        <f>HYPERLINK("https://klasma.github.io/Logging_1263/kartor/A 29029-2023 karta.png", "A 29029-2023")</f>
        <v/>
      </c>
      <c r="V8">
        <f>HYPERLINK("https://klasma.github.io/Logging_1263/klagomål/A 29029-2023 FSC-klagomål.docx", "A 29029-2023")</f>
        <v/>
      </c>
      <c r="W8">
        <f>HYPERLINK("https://klasma.github.io/Logging_1263/klagomålsmail/A 29029-2023 FSC-klagomål mail.docx", "A 29029-2023")</f>
        <v/>
      </c>
      <c r="X8">
        <f>HYPERLINK("https://klasma.github.io/Logging_1263/tillsyn/A 29029-2023 tillsynsbegäran.docx", "A 29029-2023")</f>
        <v/>
      </c>
      <c r="Y8">
        <f>HYPERLINK("https://klasma.github.io/Logging_1263/tillsynsmail/A 29029-2023 tillsynsbegäran mail.docx", "A 29029-2023")</f>
        <v/>
      </c>
    </row>
    <row r="9" ht="15" customHeight="1">
      <c r="A9" t="inlineStr">
        <is>
          <t>A 29032-2023</t>
        </is>
      </c>
      <c r="B9" s="1" t="n">
        <v>45104</v>
      </c>
      <c r="C9" s="1" t="n">
        <v>45734</v>
      </c>
      <c r="D9" t="inlineStr">
        <is>
          <t>SKÅNE LÄN</t>
        </is>
      </c>
      <c r="E9" t="inlineStr">
        <is>
          <t>SVEDALA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HYPERLINK("https://klasma.github.io/Logging_1263/artfynd/A 29032-2023 artfynd.xlsx", "A 29032-2023")</f>
        <v/>
      </c>
      <c r="T9">
        <f>HYPERLINK("https://klasma.github.io/Logging_1263/kartor/A 29032-2023 karta.png", "A 29032-2023")</f>
        <v/>
      </c>
      <c r="V9">
        <f>HYPERLINK("https://klasma.github.io/Logging_1263/klagomål/A 29032-2023 FSC-klagomål.docx", "A 29032-2023")</f>
        <v/>
      </c>
      <c r="W9">
        <f>HYPERLINK("https://klasma.github.io/Logging_1263/klagomålsmail/A 29032-2023 FSC-klagomål mail.docx", "A 29032-2023")</f>
        <v/>
      </c>
      <c r="X9">
        <f>HYPERLINK("https://klasma.github.io/Logging_1263/tillsyn/A 29032-2023 tillsynsbegäran.docx", "A 29032-2023")</f>
        <v/>
      </c>
      <c r="Y9">
        <f>HYPERLINK("https://klasma.github.io/Logging_1263/tillsynsmail/A 29032-2023 tillsynsbegäran mail.docx", "A 29032-2023")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45734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45734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45734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45734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45734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45734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45734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45734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45734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45734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45734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45734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45734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45734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45734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45734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45734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45734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45734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45734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45734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45734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45734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45734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45734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45734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45734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45734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45734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45734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45734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45734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45734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45734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45734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45734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45734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45734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45734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45734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45734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45734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45734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45734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45734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45734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45734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45734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45734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45734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45734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45734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45734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45734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45734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45734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45734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45734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45734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45734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45734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45734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>
      <c r="A72" t="inlineStr">
        <is>
          <t>A 9277-2025</t>
        </is>
      </c>
      <c r="B72" s="1" t="n">
        <v>45714</v>
      </c>
      <c r="C72" s="1" t="n">
        <v>45734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2025-03-18T15:26:16Z</dcterms:created>
  <dcterms:modified xmlns:dcterms="http://purl.org/dc/terms/" xmlns:xsi="http://www.w3.org/2001/XMLSchema-instance" xsi:type="dcterms:W3CDTF">2025-03-18T15:26:16Z</dcterms:modified>
</cp:coreProperties>
</file>