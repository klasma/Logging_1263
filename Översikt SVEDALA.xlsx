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46286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58350-2025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46286</v>
      </c>
      <c r="F11" t="inlineStr">
        <is>
          <t>SKÅNE LÄN</t>
        </is>
      </c>
      <c r="G11" t="inlineStr">
        <is>
          <t>SVEDALA</t>
        </is>
      </c>
      <c r="I11" t="n">
        <v>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Koralltaggsvamp
Stor revmossa</t>
        </is>
      </c>
      <c r="W11">
        <f>HYPERLINK("https://klasma.github.io/Logging_1263/artfynd/A 58350-2025 artfynd.xlsx", "A 58350-2025")</f>
        <v/>
      </c>
      <c r="X11">
        <f>HYPERLINK("https://klasma.github.io/Logging_1263/kartor/A 58350-2025 karta.png", "A 58350-2025")</f>
        <v/>
      </c>
      <c r="Y11">
        <f>HYPERLINK("https://klasma.github.io/Logging_1263/kartor_geotiff/A 58350-2025 georefererad karta.tif", "A 58350-2025")</f>
        <v/>
      </c>
      <c r="AA11">
        <f>HYPERLINK("https://klasma.github.io/Logging_1263/klagomål/A 58350-2025 FSC-klagomål.docx", "A 58350-2025")</f>
        <v/>
      </c>
      <c r="AB11">
        <f>HYPERLINK("https://klasma.github.io/Logging_1263/klagomålsmail/A 58350-2025 FSC-klagomål mail.docx", "A 58350-2025")</f>
        <v/>
      </c>
      <c r="AC11">
        <f>HYPERLINK("https://klasma.github.io/Logging_1263/tillsyn/A 58350-2025 tillsynsbegäran.docx", "A 58350-2025")</f>
        <v/>
      </c>
      <c r="AD11">
        <f>HYPERLINK("https://klasma.github.io/Logging_1263/tillsynsmail/A 58350-2025 tillsynsbegäran mail.docx", "A 58350-2025")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46286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46286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15565-2024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46286</v>
      </c>
      <c r="F14" t="inlineStr">
        <is>
          <t>SKÅNE LÄN</t>
        </is>
      </c>
      <c r="G14" t="inlineStr">
        <is>
          <t>SVEDALA</t>
        </is>
      </c>
      <c r="I14" t="n">
        <v>7</v>
      </c>
      <c r="J14" t="n">
        <v>0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4</v>
      </c>
      <c r="U14" t="n">
        <v>2</v>
      </c>
      <c r="V14" s="2" t="inlineStr">
        <is>
          <t>Skogsalm
Igelkott</t>
        </is>
      </c>
      <c r="W14">
        <f>HYPERLINK("https://klasma.github.io/Logging_1263/artfynd/A 15565-2024 artfynd.xlsx", "A 15565-2024")</f>
        <v/>
      </c>
      <c r="X14">
        <f>HYPERLINK("https://klasma.github.io/Logging_1263/kartor/A 15565-2024 karta.png", "A 15565-2024")</f>
        <v/>
      </c>
      <c r="Y14">
        <f>HYPERLINK("https://klasma.github.io/Logging_1263/kartor_geotiff/A 15565-2024 georefererad karta.tif", "A 15565-2024")</f>
        <v/>
      </c>
      <c r="AA14">
        <f>HYPERLINK("https://klasma.github.io/Logging_1263/klagomål/A 15565-2024 FSC-klagomål.docx", "A 15565-2024")</f>
        <v/>
      </c>
      <c r="AB14">
        <f>HYPERLINK("https://klasma.github.io/Logging_1263/klagomålsmail/A 15565-2024 FSC-klagomål mail.docx", "A 15565-2024")</f>
        <v/>
      </c>
      <c r="AC14">
        <f>HYPERLINK("https://klasma.github.io/Logging_1263/tillsyn/A 15565-2024 tillsynsbegäran.docx", "A 15565-2024")</f>
        <v/>
      </c>
      <c r="AD14">
        <f>HYPERLINK("https://klasma.github.io/Logging_1263/tillsynsmail/A 15565-2024 tillsynsbegäran mail.docx", "A 15565-2024")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46286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46286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46286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46286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46286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46286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46286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46286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46286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46286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44897</v>
      </c>
      <c r="E33" s="1" t="n">
        <v>46286</v>
      </c>
      <c r="F33" t="inlineStr">
        <is>
          <t>SKÅNE LÄN</t>
        </is>
      </c>
      <c r="G33" t="inlineStr">
        <is>
          <t>SVEDALA</t>
        </is>
      </c>
      <c r="I33" t="n">
        <v>8.9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57803-2022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44897</v>
      </c>
      <c r="E34" s="1" t="n">
        <v>46286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54282-2023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45232</v>
      </c>
      <c r="E35" s="1" t="n">
        <v>46286</v>
      </c>
      <c r="F35" t="inlineStr">
        <is>
          <t>SKÅNE LÄN</t>
        </is>
      </c>
      <c r="G35" t="inlineStr">
        <is>
          <t>SVEDALA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45233</v>
      </c>
      <c r="E36" s="1" t="n">
        <v>46286</v>
      </c>
      <c r="F36" t="inlineStr">
        <is>
          <t>SKÅNE LÄN</t>
        </is>
      </c>
      <c r="G36" t="inlineStr">
        <is>
          <t>SVEDALA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46286</v>
      </c>
      <c r="F37" t="inlineStr">
        <is>
          <t>SKÅNE LÄN</t>
        </is>
      </c>
      <c r="G37" t="inlineStr">
        <is>
          <t>SVEDALA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46286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46286</v>
      </c>
      <c r="F39" t="inlineStr">
        <is>
          <t>SKÅNE LÄN</t>
        </is>
      </c>
      <c r="G39" t="inlineStr">
        <is>
          <t>SVEDALA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45950</v>
      </c>
      <c r="E40" s="1" t="n">
        <v>46286</v>
      </c>
      <c r="F40" t="inlineStr">
        <is>
          <t>SKÅNE LÄN</t>
        </is>
      </c>
      <c r="G40" t="inlineStr">
        <is>
          <t>SVEDALA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46286</v>
      </c>
      <c r="F41" t="inlineStr">
        <is>
          <t>SKÅNE LÄN</t>
        </is>
      </c>
      <c r="G41" t="inlineStr">
        <is>
          <t>SVEDALA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46021</v>
      </c>
      <c r="E42" s="1" t="n">
        <v>46286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64051-2025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46021</v>
      </c>
      <c r="E43" s="1" t="n">
        <v>46286</v>
      </c>
      <c r="F43" t="inlineStr">
        <is>
          <t>SKÅNE LÄN</t>
        </is>
      </c>
      <c r="G43" t="inlineStr">
        <is>
          <t>SVEDALA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46286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46286</v>
      </c>
      <c r="F45" t="inlineStr">
        <is>
          <t>SKÅNE LÄN</t>
        </is>
      </c>
      <c r="G45" t="inlineStr">
        <is>
          <t>SVEDALA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31693-2023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46286</v>
      </c>
      <c r="F46" t="inlineStr">
        <is>
          <t>SKÅNE LÄN</t>
        </is>
      </c>
      <c r="G46" t="inlineStr">
        <is>
          <t>SVEDALA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46286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46286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46286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46286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46286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46286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46286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46286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46286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46286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26080-2026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46286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46286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26073-2026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46286</v>
      </c>
      <c r="F59" t="inlineStr">
        <is>
          <t>SKÅNE LÄN</t>
        </is>
      </c>
      <c r="G59" t="inlineStr">
        <is>
          <t>SVEDALA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2026-09-21T02:05:04Z</dcterms:created>
  <dcterms:modified xmlns:dcterms="http://purl.org/dc/terms/" xmlns:xsi="http://www.w3.org/2001/XMLSchema-instance" xsi:type="dcterms:W3CDTF">2026-09-21T02:05:04Z</dcterms:modified>
</cp:coreProperties>
</file>