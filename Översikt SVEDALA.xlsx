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46304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46304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46304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46304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46304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46304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46304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46304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46304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46304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46304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38011-2023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45160</v>
      </c>
      <c r="E13" s="1" t="n">
        <v>46304</v>
      </c>
      <c r="F13" t="inlineStr">
        <is>
          <t>SKÅNE LÄN</t>
        </is>
      </c>
      <c r="G13" t="inlineStr">
        <is>
          <t>SVEDALA</t>
        </is>
      </c>
      <c r="I13" t="n">
        <v>2.8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Lökgroda
Skogsknipprot</t>
        </is>
      </c>
      <c r="W13">
        <f>HYPERLINK("https://klasma.github.io/Logging_1263/artfynd/A 38011-2023 artfynd.xlsx", "A 38011-2023")</f>
        <v/>
      </c>
      <c r="X13">
        <f>HYPERLINK("https://klasma.github.io/Logging_1263/kartor/A 38011-2023 karta.png", "A 38011-2023")</f>
        <v/>
      </c>
      <c r="Y13">
        <f>HYPERLINK("https://klasma.github.io/Logging_1263/kartor_geotiff/A 38011-2023 georefererad karta.tif", "A 38011-2023")</f>
        <v/>
      </c>
      <c r="AA13">
        <f>HYPERLINK("https://klasma.github.io/Logging_1263/klagomål/A 38011-2023 FSC-klagomål.docx", "A 38011-2023")</f>
        <v/>
      </c>
      <c r="AB13">
        <f>HYPERLINK("https://klasma.github.io/Logging_1263/klagomålsmail/A 38011-2023 FSC-klagomål mail.docx", "A 38011-2023")</f>
        <v/>
      </c>
      <c r="AC13">
        <f>HYPERLINK("https://klasma.github.io/Logging_1263/tillsyn/A 38011-2023 tillsynsbegäran.docx", "A 38011-2023")</f>
        <v/>
      </c>
      <c r="AD13">
        <f>HYPERLINK("https://klasma.github.io/Logging_1263/tillsynsmail/A 38011-2023 tillsynsbegäran mail.docx", "A 38011-2023")</f>
        <v/>
      </c>
    </row>
    <row r="14" ht="15" customHeight="1">
      <c r="A14" t="inlineStr">
        <is>
          <t>A 15565-2024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46304</v>
      </c>
      <c r="F14" t="inlineStr">
        <is>
          <t>SKÅNE LÄN</t>
        </is>
      </c>
      <c r="G14" t="inlineStr">
        <is>
          <t>SVEDALA</t>
        </is>
      </c>
      <c r="I14" t="n">
        <v>7</v>
      </c>
      <c r="J14" t="n">
        <v>0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4</v>
      </c>
      <c r="U14" t="n">
        <v>2</v>
      </c>
      <c r="V14" s="2" t="inlineStr">
        <is>
          <t>Skogsalm
Igelkott</t>
        </is>
      </c>
      <c r="W14">
        <f>HYPERLINK("https://klasma.github.io/Logging_1263/artfynd/A 15565-2024 artfynd.xlsx", "A 15565-2024")</f>
        <v/>
      </c>
      <c r="X14">
        <f>HYPERLINK("https://klasma.github.io/Logging_1263/kartor/A 15565-2024 karta.png", "A 15565-2024")</f>
        <v/>
      </c>
      <c r="Y14">
        <f>HYPERLINK("https://klasma.github.io/Logging_1263/kartor_geotiff/A 15565-2024 georefererad karta.tif", "A 15565-2024")</f>
        <v/>
      </c>
      <c r="AA14">
        <f>HYPERLINK("https://klasma.github.io/Logging_1263/klagomål/A 15565-2024 FSC-klagomål.docx", "A 15565-2024")</f>
        <v/>
      </c>
      <c r="AB14">
        <f>HYPERLINK("https://klasma.github.io/Logging_1263/klagomålsmail/A 15565-2024 FSC-klagomål mail.docx", "A 15565-2024")</f>
        <v/>
      </c>
      <c r="AC14">
        <f>HYPERLINK("https://klasma.github.io/Logging_1263/tillsyn/A 15565-2024 tillsynsbegäran.docx", "A 15565-2024")</f>
        <v/>
      </c>
      <c r="AD14">
        <f>HYPERLINK("https://klasma.github.io/Logging_1263/tillsynsmail/A 15565-2024 tillsynsbegäran mail.docx", "A 15565-2024")</f>
        <v/>
      </c>
    </row>
    <row r="15" ht="15" customHeight="1">
      <c r="A15" t="inlineStr">
        <is>
          <t>A 58350-2025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46304</v>
      </c>
      <c r="F15" t="inlineStr">
        <is>
          <t>SKÅNE LÄN</t>
        </is>
      </c>
      <c r="G15" t="inlineStr">
        <is>
          <t>SVEDALA</t>
        </is>
      </c>
      <c r="I15" t="n">
        <v>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Koralltaggsvamp
Stor revmossa</t>
        </is>
      </c>
      <c r="W15">
        <f>HYPERLINK("https://klasma.github.io/Logging_1263/artfynd/A 58350-2025 artfynd.xlsx", "A 58350-2025")</f>
        <v/>
      </c>
      <c r="X15">
        <f>HYPERLINK("https://klasma.github.io/Logging_1263/kartor/A 58350-2025 karta.png", "A 58350-2025")</f>
        <v/>
      </c>
      <c r="Y15">
        <f>HYPERLINK("https://klasma.github.io/Logging_1263/kartor_geotiff/A 58350-2025 georefererad karta.tif", "A 58350-2025")</f>
        <v/>
      </c>
      <c r="AA15">
        <f>HYPERLINK("https://klasma.github.io/Logging_1263/klagomål/A 58350-2025 FSC-klagomål.docx", "A 58350-2025")</f>
        <v/>
      </c>
      <c r="AB15">
        <f>HYPERLINK("https://klasma.github.io/Logging_1263/klagomålsmail/A 58350-2025 FSC-klagomål mail.docx", "A 58350-2025")</f>
        <v/>
      </c>
      <c r="AC15">
        <f>HYPERLINK("https://klasma.github.io/Logging_1263/tillsyn/A 58350-2025 tillsynsbegäran.docx", "A 58350-2025")</f>
        <v/>
      </c>
      <c r="AD15">
        <f>HYPERLINK("https://klasma.github.io/Logging_1263/tillsynsmail/A 58350-2025 tillsynsbegäran mail.docx", "A 58350-2025")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46304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46304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Lövgroda
Större vattensalamander</t>
        </is>
      </c>
      <c r="W17">
        <f>HYPERLINK("https://klasma.github.io/Logging_1263/artfynd/A 9570-2026 artfynd.xlsx", "A 9570-2026")</f>
        <v/>
      </c>
      <c r="X17">
        <f>HYPERLINK("https://klasma.github.io/Logging_1263/kartor/A 9570-2026 karta.png", "A 9570-2026")</f>
        <v/>
      </c>
      <c r="Y17">
        <f>HYPERLINK("https://klasma.github.io/Logging_1263/kartor_geotiff/A 9570-2026 georefererad karta.tif", "A 9570-2026")</f>
        <v/>
      </c>
      <c r="AA17">
        <f>HYPERLINK("https://klasma.github.io/Logging_1263/klagomål/A 9570-2026 FSC-klagomål.docx", "A 9570-2026")</f>
        <v/>
      </c>
      <c r="AB17">
        <f>HYPERLINK("https://klasma.github.io/Logging_1263/klagomålsmail/A 9570-2026 FSC-klagomål mail.docx", "A 9570-2026")</f>
        <v/>
      </c>
      <c r="AC17">
        <f>HYPERLINK("https://klasma.github.io/Logging_1263/tillsyn/A 9570-2026 tillsynsbegäran.docx", "A 9570-2026")</f>
        <v/>
      </c>
      <c r="AD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46304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46304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46304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46304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46304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46304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46304</v>
      </c>
      <c r="F24" t="inlineStr">
        <is>
          <t>SKÅNE LÄN</t>
        </is>
      </c>
      <c r="G24" t="inlineStr">
        <is>
          <t>SVEDALA</t>
        </is>
      </c>
      <c r="I24" t="n">
        <v>7.3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Trana</t>
        </is>
      </c>
      <c r="W24">
        <f>HYPERLINK("https://klasma.github.io/Logging_1263/artfynd/A 15582-2024 artfynd.xlsx", "A 15582-2024")</f>
        <v/>
      </c>
      <c r="X24">
        <f>HYPERLINK("https://klasma.github.io/Logging_1263/kartor/A 15582-2024 karta.png", "A 15582-2024")</f>
        <v/>
      </c>
      <c r="Y24">
        <f>HYPERLINK("https://klasma.github.io/Logging_1263/kartor_geotiff/A 15582-2024 georefererad karta.tif", "A 15582-2024")</f>
        <v/>
      </c>
      <c r="AA24">
        <f>HYPERLINK("https://klasma.github.io/Logging_1263/klagomål/A 15582-2024 FSC-klagomål.docx", "A 15582-2024")</f>
        <v/>
      </c>
      <c r="AB24">
        <f>HYPERLINK("https://klasma.github.io/Logging_1263/klagomålsmail/A 15582-2024 FSC-klagomål mail.docx", "A 15582-2024")</f>
        <v/>
      </c>
      <c r="AC24">
        <f>HYPERLINK("https://klasma.github.io/Logging_1263/tillsyn/A 15582-2024 tillsynsbegäran.docx", "A 15582-2024")</f>
        <v/>
      </c>
      <c r="AD24">
        <f>HYPERLINK("https://klasma.github.io/Logging_1263/tillsynsmail/A 15582-2024 tillsynsbegäran mail.docx", "A 15582-2024")</f>
        <v/>
      </c>
      <c r="AE24">
        <f>HYPERLINK("https://klasma.github.io/Logging_1263/fåglar/A 15582-2024 prioriterade fågelarter.docx", "A 15582-2024")</f>
        <v/>
      </c>
    </row>
    <row r="25" ht="15" customHeight="1">
      <c r="A25" t="inlineStr">
        <is>
          <t>A 38846-2026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46286</v>
      </c>
      <c r="E25" s="1" t="n">
        <v>46304</v>
      </c>
      <c r="F25" t="inlineStr">
        <is>
          <t>SKÅNE LÄN</t>
        </is>
      </c>
      <c r="G25" t="inlineStr">
        <is>
          <t>SVEDALA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Buskvicker</t>
        </is>
      </c>
      <c r="W25">
        <f>HYPERLINK("https://klasma.github.io/Logging_1263/artfynd/A 38846-2026 artfynd.xlsx", "A 38846-2026")</f>
        <v/>
      </c>
      <c r="X25">
        <f>HYPERLINK("https://klasma.github.io/Logging_1263/kartor/A 38846-2026 karta.png", "A 38846-2026")</f>
        <v/>
      </c>
      <c r="Y25">
        <f>HYPERLINK("https://klasma.github.io/Logging_1263/kartor_geotiff/A 38846-2026 georefererad karta.tif", "A 38846-2026")</f>
        <v/>
      </c>
      <c r="AA25">
        <f>HYPERLINK("https://klasma.github.io/Logging_1263/klagomål/A 38846-2026 FSC-klagomål.docx", "A 38846-2026")</f>
        <v/>
      </c>
      <c r="AB25">
        <f>HYPERLINK("https://klasma.github.io/Logging_1263/klagomålsmail/A 38846-2026 FSC-klagomål mail.docx", "A 38846-2026")</f>
        <v/>
      </c>
      <c r="AC25">
        <f>HYPERLINK("https://klasma.github.io/Logging_1263/tillsyn/A 38846-2026 tillsynsbegäran.docx", "A 38846-2026")</f>
        <v/>
      </c>
      <c r="AD25">
        <f>HYPERLINK("https://klasma.github.io/Logging_1263/tillsynsmail/A 38846-2026 tillsynsbegäran mail.docx", "A 38846-2026")</f>
        <v/>
      </c>
    </row>
    <row r="26" ht="15" customHeight="1">
      <c r="A26" t="inlineStr">
        <is>
          <t>A 25054-2026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46304</v>
      </c>
      <c r="F26" t="inlineStr">
        <is>
          <t>SKÅNE LÄN</t>
        </is>
      </c>
      <c r="G26" t="inlineStr">
        <is>
          <t>SVEDALA</t>
        </is>
      </c>
      <c r="I26" t="n">
        <v>3.8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Fransig jordstjärna</t>
        </is>
      </c>
      <c r="W26">
        <f>HYPERLINK("https://klasma.github.io/Logging_1263/artfynd/A 25054-2026 artfynd.xlsx", "A 25054-2026")</f>
        <v/>
      </c>
      <c r="X26">
        <f>HYPERLINK("https://klasma.github.io/Logging_1263/kartor/A 25054-2026 karta.png", "A 25054-2026")</f>
        <v/>
      </c>
      <c r="Y26">
        <f>HYPERLINK("https://klasma.github.io/Logging_1263/kartor_geotiff/A 25054-2026 georefererad karta.tif", "A 25054-2026")</f>
        <v/>
      </c>
      <c r="AA26">
        <f>HYPERLINK("https://klasma.github.io/Logging_1263/klagomål/A 25054-2026 FSC-klagomål.docx", "A 25054-2026")</f>
        <v/>
      </c>
      <c r="AB26">
        <f>HYPERLINK("https://klasma.github.io/Logging_1263/klagomålsmail/A 25054-2026 FSC-klagomål mail.docx", "A 25054-2026")</f>
        <v/>
      </c>
      <c r="AC26">
        <f>HYPERLINK("https://klasma.github.io/Logging_1263/tillsyn/A 25054-2026 tillsynsbegäran.docx", "A 25054-2026")</f>
        <v/>
      </c>
      <c r="AD26">
        <f>HYPERLINK("https://klasma.github.io/Logging_1263/tillsynsmail/A 25054-2026 tillsynsbegäran mail.docx", "A 25054-2026")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46304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46304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29030-2023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46304</v>
      </c>
      <c r="F29" t="inlineStr">
        <is>
          <t>SKÅNE LÄN</t>
        </is>
      </c>
      <c r="G29" t="inlineStr">
        <is>
          <t>SVEDALA</t>
        </is>
      </c>
      <c r="I29" t="n">
        <v>8.1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46304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56202-2023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46304</v>
      </c>
      <c r="F31" t="inlineStr">
        <is>
          <t>SKÅNE LÄN</t>
        </is>
      </c>
      <c r="G31" t="inlineStr">
        <is>
          <t>SVEDALA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46304</v>
      </c>
      <c r="F32" t="inlineStr">
        <is>
          <t>SKÅNE LÄN</t>
        </is>
      </c>
      <c r="G32" t="inlineStr">
        <is>
          <t>SVEDALA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46304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44897</v>
      </c>
      <c r="E34" s="1" t="n">
        <v>46304</v>
      </c>
      <c r="F34" t="inlineStr">
        <is>
          <t>SKÅNE LÄN</t>
        </is>
      </c>
      <c r="G34" t="inlineStr">
        <is>
          <t>SVEDALA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57803-2022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46304</v>
      </c>
      <c r="F35" t="inlineStr">
        <is>
          <t>SKÅNE LÄN</t>
        </is>
      </c>
      <c r="G35" t="inlineStr">
        <is>
          <t>SVEDALA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45232</v>
      </c>
      <c r="E36" s="1" t="n">
        <v>46304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54580-2023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45233</v>
      </c>
      <c r="E37" s="1" t="n">
        <v>46304</v>
      </c>
      <c r="F37" t="inlineStr">
        <is>
          <t>SKÅNE LÄN</t>
        </is>
      </c>
      <c r="G37" t="inlineStr">
        <is>
          <t>SVEDALA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46304</v>
      </c>
      <c r="F38" t="inlineStr">
        <is>
          <t>SKÅNE LÄN</t>
        </is>
      </c>
      <c r="G38" t="inlineStr">
        <is>
          <t>SVEDALA</t>
        </is>
      </c>
      <c r="I38" t="n">
        <v>6.4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54280-2023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45232</v>
      </c>
      <c r="E39" s="1" t="n">
        <v>46304</v>
      </c>
      <c r="F39" t="inlineStr">
        <is>
          <t>SKÅNE LÄN</t>
        </is>
      </c>
      <c r="G39" t="inlineStr">
        <is>
          <t>SVEDALA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46304</v>
      </c>
      <c r="F40" t="inlineStr">
        <is>
          <t>SKÅNE LÄN</t>
        </is>
      </c>
      <c r="G40" t="inlineStr">
        <is>
          <t>SVEDALA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46304</v>
      </c>
      <c r="F41" t="inlineStr">
        <is>
          <t>SKÅNE LÄN</t>
        </is>
      </c>
      <c r="G41" t="inlineStr">
        <is>
          <t>SVEDALA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46304</v>
      </c>
      <c r="F42" t="inlineStr">
        <is>
          <t>SKÅNE LÄN</t>
        </is>
      </c>
      <c r="G42" t="inlineStr">
        <is>
          <t>SVEDALA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64049-2025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46304</v>
      </c>
      <c r="F43" t="inlineStr">
        <is>
          <t>SKÅNE LÄN</t>
        </is>
      </c>
      <c r="G43" t="inlineStr">
        <is>
          <t>SVEDALA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15277-2024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45400</v>
      </c>
      <c r="E44" s="1" t="n">
        <v>46304</v>
      </c>
      <c r="F44" t="inlineStr">
        <is>
          <t>SKÅNE LÄN</t>
        </is>
      </c>
      <c r="G44" t="inlineStr">
        <is>
          <t>SVEDALA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46304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31693-2023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45117</v>
      </c>
      <c r="E46" s="1" t="n">
        <v>46304</v>
      </c>
      <c r="F46" t="inlineStr">
        <is>
          <t>SKÅNE LÄN</t>
        </is>
      </c>
      <c r="G46" t="inlineStr">
        <is>
          <t>SVEDALA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27844-2026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46304</v>
      </c>
      <c r="F47" t="inlineStr">
        <is>
          <t>SKÅNE LÄN</t>
        </is>
      </c>
      <c r="G47" t="inlineStr">
        <is>
          <t>SVEDALA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15577-2024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45401</v>
      </c>
      <c r="E48" s="1" t="n">
        <v>46304</v>
      </c>
      <c r="F48" t="inlineStr">
        <is>
          <t>SKÅNE LÄN</t>
        </is>
      </c>
      <c r="G48" t="inlineStr">
        <is>
          <t>SVEDALA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45428</v>
      </c>
      <c r="E49" s="1" t="n">
        <v>46304</v>
      </c>
      <c r="F49" t="inlineStr">
        <is>
          <t>SKÅNE LÄN</t>
        </is>
      </c>
      <c r="G49" t="inlineStr">
        <is>
          <t>SVEDALA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27113-2022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44741</v>
      </c>
      <c r="E50" s="1" t="n">
        <v>46304</v>
      </c>
      <c r="F50" t="inlineStr">
        <is>
          <t>SKÅNE LÄN</t>
        </is>
      </c>
      <c r="G50" t="inlineStr">
        <is>
          <t>SVEDALA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16199-2024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45406</v>
      </c>
      <c r="E51" s="1" t="n">
        <v>46304</v>
      </c>
      <c r="F51" t="inlineStr">
        <is>
          <t>SKÅNE LÄN</t>
        </is>
      </c>
      <c r="G51" t="inlineStr">
        <is>
          <t>SVEDALA</t>
        </is>
      </c>
      <c r="I51" t="n">
        <v>13.5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13344-2023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45005</v>
      </c>
      <c r="E52" s="1" t="n">
        <v>46304</v>
      </c>
      <c r="F52" t="inlineStr">
        <is>
          <t>SKÅNE LÄN</t>
        </is>
      </c>
      <c r="G52" t="inlineStr">
        <is>
          <t>SVEDALA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19190-2023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45048</v>
      </c>
      <c r="E53" s="1" t="n">
        <v>46304</v>
      </c>
      <c r="F53" t="inlineStr">
        <is>
          <t>SKÅNE LÄN</t>
        </is>
      </c>
      <c r="G53" t="inlineStr">
        <is>
          <t>SVEDALA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46304</v>
      </c>
      <c r="F54" t="inlineStr">
        <is>
          <t>SKÅNE LÄN</t>
        </is>
      </c>
      <c r="G54" t="inlineStr">
        <is>
          <t>SVEDALA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67456-2021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46304</v>
      </c>
      <c r="F55" t="inlineStr">
        <is>
          <t>SKÅNE LÄN</t>
        </is>
      </c>
      <c r="G55" t="inlineStr">
        <is>
          <t>SVEDALA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16690-2023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45030</v>
      </c>
      <c r="E56" s="1" t="n">
        <v>46304</v>
      </c>
      <c r="F56" t="inlineStr">
        <is>
          <t>SKÅNE LÄN</t>
        </is>
      </c>
      <c r="G56" t="inlineStr">
        <is>
          <t>SVEDALA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46286</v>
      </c>
      <c r="E57" s="1" t="n">
        <v>46304</v>
      </c>
      <c r="F57" t="inlineStr">
        <is>
          <t>SKÅNE LÄN</t>
        </is>
      </c>
      <c r="G57" t="inlineStr">
        <is>
          <t>SVEDALA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38845-2026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46304</v>
      </c>
      <c r="F58" t="inlineStr">
        <is>
          <t>SKÅNE LÄN</t>
        </is>
      </c>
      <c r="G58" t="inlineStr">
        <is>
          <t>SVEDALA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38842-2026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46304</v>
      </c>
      <c r="F59" t="inlineStr">
        <is>
          <t>SKÅNE LÄN</t>
        </is>
      </c>
      <c r="G59" t="inlineStr">
        <is>
          <t>SVEDALA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18888-2024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45427</v>
      </c>
      <c r="E60" s="1" t="n">
        <v>46304</v>
      </c>
      <c r="F60" t="inlineStr">
        <is>
          <t>SKÅNE LÄN</t>
        </is>
      </c>
      <c r="G60" t="inlineStr">
        <is>
          <t>SVEDALA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46286</v>
      </c>
      <c r="E61" s="1" t="n">
        <v>46304</v>
      </c>
      <c r="F61" t="inlineStr">
        <is>
          <t>SKÅNE LÄN</t>
        </is>
      </c>
      <c r="G61" t="inlineStr">
        <is>
          <t>SVEDALA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46286</v>
      </c>
      <c r="E62" s="1" t="n">
        <v>46304</v>
      </c>
      <c r="F62" t="inlineStr">
        <is>
          <t>SKÅNE LÄN</t>
        </is>
      </c>
      <c r="G62" t="inlineStr">
        <is>
          <t>SVEDALA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26073-2026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46304</v>
      </c>
      <c r="F63" t="inlineStr">
        <is>
          <t>SKÅNE LÄN</t>
        </is>
      </c>
      <c r="G63" t="inlineStr">
        <is>
          <t>SVEDALA</t>
        </is>
      </c>
      <c r="I63" t="n">
        <v>7.3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46176</v>
      </c>
      <c r="E64" s="1" t="n">
        <v>46304</v>
      </c>
      <c r="F64" t="inlineStr">
        <is>
          <t>SKÅNE LÄN</t>
        </is>
      </c>
      <c r="G64" t="inlineStr">
        <is>
          <t>SVEDALA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26080-2026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46304</v>
      </c>
      <c r="F65" t="inlineStr">
        <is>
          <t>SKÅNE LÄN</t>
        </is>
      </c>
      <c r="G65" t="inlineStr">
        <is>
          <t>SVEDALA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46304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46304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2026-10-09T02:04:08Z</dcterms:created>
  <dcterms:modified xmlns:dcterms="http://purl.org/dc/terms/" xmlns:xsi="http://www.w3.org/2001/XMLSchema-instance" xsi:type="dcterms:W3CDTF">2026-10-09T02:04:08Z</dcterms:modified>
</cp:coreProperties>
</file>