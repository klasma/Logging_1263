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46203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46203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46203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46203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46203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46203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46203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58350-2025</t>
        </is>
      </c>
      <c r="B11" s="1" t="n">
        <v>45985</v>
      </c>
      <c r="C11" s="1" t="n">
        <v>46203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Koralltaggsvamp
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31697-2023</t>
        </is>
      </c>
      <c r="B12" s="1" t="n">
        <v>45117</v>
      </c>
      <c r="C12" s="1" t="n">
        <v>46203</v>
      </c>
      <c r="D12" t="inlineStr">
        <is>
          <t>SKÅNE LÄN</t>
        </is>
      </c>
      <c r="E12" t="inlineStr">
        <is>
          <t>SVEDALA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HYPERLINK("https://klasma.github.io/Logging_1263/artfynd/A 31697-2023 artfynd.xlsx", "A 31697-2023")</f>
        <v/>
      </c>
      <c r="T12">
        <f>HYPERLINK("https://klasma.github.io/Logging_1263/kartor/A 31697-2023 karta.png", "A 31697-2023")</f>
        <v/>
      </c>
      <c r="V12">
        <f>HYPERLINK("https://klasma.github.io/Logging_1263/klagomål/A 31697-2023 FSC-klagomål.docx", "A 31697-2023")</f>
        <v/>
      </c>
      <c r="W12">
        <f>HYPERLINK("https://klasma.github.io/Logging_1263/klagomålsmail/A 31697-2023 FSC-klagomål mail.docx", "A 31697-2023")</f>
        <v/>
      </c>
      <c r="X12">
        <f>HYPERLINK("https://klasma.github.io/Logging_1263/tillsyn/A 31697-2023 tillsynsbegäran.docx", "A 31697-2023")</f>
        <v/>
      </c>
      <c r="Y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46203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Korallticka
Ekoxe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25022-2026</t>
        </is>
      </c>
      <c r="B14" s="1" t="n">
        <v>46174</v>
      </c>
      <c r="C14" s="1" t="n">
        <v>46203</v>
      </c>
      <c r="D14" t="inlineStr">
        <is>
          <t>SKÅNE LÄN</t>
        </is>
      </c>
      <c r="E14" t="inlineStr">
        <is>
          <t>SVEDALA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tåtelsmygare
Skogsknipprot</t>
        </is>
      </c>
      <c r="S14">
        <f>HYPERLINK("https://klasma.github.io/Logging_1263/artfynd/A 25022-2026 artfynd.xlsx", "A 25022-2026")</f>
        <v/>
      </c>
      <c r="T14">
        <f>HYPERLINK("https://klasma.github.io/Logging_1263/kartor/A 25022-2026 karta.png", "A 25022-2026")</f>
        <v/>
      </c>
      <c r="V14">
        <f>HYPERLINK("https://klasma.github.io/Logging_1263/klagomål/A 25022-2026 FSC-klagomål.docx", "A 25022-2026")</f>
        <v/>
      </c>
      <c r="W14">
        <f>HYPERLINK("https://klasma.github.io/Logging_1263/klagomålsmail/A 25022-2026 FSC-klagomål mail.docx", "A 25022-2026")</f>
        <v/>
      </c>
      <c r="X14">
        <f>HYPERLINK("https://klasma.github.io/Logging_1263/tillsyn/A 25022-2026 tillsynsbegäran.docx", "A 25022-2026")</f>
        <v/>
      </c>
      <c r="Y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s="1" t="n">
        <v>46070</v>
      </c>
      <c r="C15" s="1" t="n">
        <v>46203</v>
      </c>
      <c r="D15" t="inlineStr">
        <is>
          <t>SKÅNE LÄN</t>
        </is>
      </c>
      <c r="E15" t="inlineStr">
        <is>
          <t>SVEDALA</t>
        </is>
      </c>
      <c r="G15" t="n">
        <v>6.6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Lövgroda
Större vattensalamander</t>
        </is>
      </c>
      <c r="S15">
        <f>HYPERLINK("https://klasma.github.io/Logging_1263/artfynd/A 9570-2026 artfynd.xlsx", "A 9570-2026")</f>
        <v/>
      </c>
      <c r="T15">
        <f>HYPERLINK("https://klasma.github.io/Logging_1263/kartor/A 9570-2026 karta.png", "A 9570-2026")</f>
        <v/>
      </c>
      <c r="V15">
        <f>HYPERLINK("https://klasma.github.io/Logging_1263/klagomål/A 9570-2026 FSC-klagomål.docx", "A 9570-2026")</f>
        <v/>
      </c>
      <c r="W15">
        <f>HYPERLINK("https://klasma.github.io/Logging_1263/klagomålsmail/A 9570-2026 FSC-klagomål mail.docx", "A 9570-2026")</f>
        <v/>
      </c>
      <c r="X15">
        <f>HYPERLINK("https://klasma.github.io/Logging_1263/tillsyn/A 9570-2026 tillsynsbegäran.docx", "A 9570-2026")</f>
        <v/>
      </c>
      <c r="Y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s="1" t="n">
        <v>45160</v>
      </c>
      <c r="C16" s="1" t="n">
        <v>46203</v>
      </c>
      <c r="D16" t="inlineStr">
        <is>
          <t>SKÅNE LÄN</t>
        </is>
      </c>
      <c r="E16" t="inlineStr">
        <is>
          <t>SVEDALA</t>
        </is>
      </c>
      <c r="G16" t="n">
        <v>2.8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Lökgroda
Skogsknipprot</t>
        </is>
      </c>
      <c r="S16">
        <f>HYPERLINK("https://klasma.github.io/Logging_1263/artfynd/A 38011-2023 artfynd.xlsx", "A 38011-2023")</f>
        <v/>
      </c>
      <c r="T16">
        <f>HYPERLINK("https://klasma.github.io/Logging_1263/kartor/A 38011-2023 karta.png", "A 38011-2023")</f>
        <v/>
      </c>
      <c r="V16">
        <f>HYPERLINK("https://klasma.github.io/Logging_1263/klagomål/A 38011-2023 FSC-klagomål.docx", "A 38011-2023")</f>
        <v/>
      </c>
      <c r="W16">
        <f>HYPERLINK("https://klasma.github.io/Logging_1263/klagomålsmail/A 38011-2023 FSC-klagomål mail.docx", "A 38011-2023")</f>
        <v/>
      </c>
      <c r="X16">
        <f>HYPERLINK("https://klasma.github.io/Logging_1263/tillsyn/A 38011-2023 tillsynsbegäran.docx", "A 38011-2023")</f>
        <v/>
      </c>
      <c r="Y16">
        <f>HYPERLINK("https://klasma.github.io/Logging_1263/tillsynsmail/A 38011-2023 tillsynsbegäran mail.docx", "A 38011-2023")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46203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15582-2024</t>
        </is>
      </c>
      <c r="B19" s="1" t="n">
        <v>45401</v>
      </c>
      <c r="C19" s="1" t="n">
        <v>46203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HYPERLINK("https://klasma.github.io/Logging_1263/artfynd/A 15582-2024 artfynd.xlsx", "A 15582-2024")</f>
        <v/>
      </c>
      <c r="T19">
        <f>HYPERLINK("https://klasma.github.io/Logging_1263/kartor/A 15582-2024 karta.png", "A 15582-2024")</f>
        <v/>
      </c>
      <c r="V19">
        <f>HYPERLINK("https://klasma.github.io/Logging_1263/klagomål/A 15582-2024 FSC-klagomål.docx", "A 15582-2024")</f>
        <v/>
      </c>
      <c r="W19">
        <f>HYPERLINK("https://klasma.github.io/Logging_1263/klagomålsmail/A 15582-2024 FSC-klagomål mail.docx", "A 15582-2024")</f>
        <v/>
      </c>
      <c r="X19">
        <f>HYPERLINK("https://klasma.github.io/Logging_1263/tillsyn/A 15582-2024 tillsynsbegäran.docx", "A 15582-2024")</f>
        <v/>
      </c>
      <c r="Y19">
        <f>HYPERLINK("https://klasma.github.io/Logging_1263/tillsynsmail/A 15582-2024 tillsynsbegäran mail.docx", "A 15582-2024")</f>
        <v/>
      </c>
      <c r="Z19">
        <f>HYPERLINK("https://klasma.github.io/Logging_1263/fåglar/A 15582-2024 prioriterade fågelarter.docx", "A 15582-2024")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46203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46203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15571-2024</t>
        </is>
      </c>
      <c r="B22" s="1" t="n">
        <v>45401</v>
      </c>
      <c r="C22" s="1" t="n">
        <v>46203</v>
      </c>
      <c r="D22" t="inlineStr">
        <is>
          <t>SKÅNE LÄN</t>
        </is>
      </c>
      <c r="E22" t="inlineStr">
        <is>
          <t>SVEDALA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skogssnigel</t>
        </is>
      </c>
      <c r="S22">
        <f>HYPERLINK("https://klasma.github.io/Logging_1263/artfynd/A 15571-2024 artfynd.xlsx", "A 15571-2024")</f>
        <v/>
      </c>
      <c r="T22">
        <f>HYPERLINK("https://klasma.github.io/Logging_1263/kartor/A 15571-2024 karta.png", "A 15571-2024")</f>
        <v/>
      </c>
      <c r="V22">
        <f>HYPERLINK("https://klasma.github.io/Logging_1263/klagomål/A 15571-2024 FSC-klagomål.docx", "A 15571-2024")</f>
        <v/>
      </c>
      <c r="W22">
        <f>HYPERLINK("https://klasma.github.io/Logging_1263/klagomålsmail/A 15571-2024 FSC-klagomål mail.docx", "A 15571-2024")</f>
        <v/>
      </c>
      <c r="X22">
        <f>HYPERLINK("https://klasma.github.io/Logging_1263/tillsyn/A 15571-2024 tillsynsbegäran.docx", "A 15571-2024")</f>
        <v/>
      </c>
      <c r="Y22">
        <f>HYPERLINK("https://klasma.github.io/Logging_1263/tillsynsmail/A 15571-2024 tillsynsbegäran mail.docx", "A 15571-2024")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46203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</v>
      </c>
      <c r="C24" s="1" t="n">
        <v>46203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46203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46203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46203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46203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13344-2023</t>
        </is>
      </c>
      <c r="B29" s="1" t="n">
        <v>45005</v>
      </c>
      <c r="C29" s="1" t="n">
        <v>46203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64060-2025</t>
        </is>
      </c>
      <c r="B30" s="1" t="n">
        <v>46021</v>
      </c>
      <c r="C30" s="1" t="n">
        <v>46203</v>
      </c>
      <c r="D30" t="inlineStr">
        <is>
          <t>SKÅNE LÄN</t>
        </is>
      </c>
      <c r="E30" t="inlineStr">
        <is>
          <t>SVEDALA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46203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2415-2025</t>
        </is>
      </c>
      <c r="B32" s="1" t="n">
        <v>45674</v>
      </c>
      <c r="C32" s="1" t="n">
        <v>46203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46203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64049-2025</t>
        </is>
      </c>
      <c r="B34" s="1" t="n">
        <v>46021</v>
      </c>
      <c r="C34" s="1" t="n">
        <v>46203</v>
      </c>
      <c r="D34" t="inlineStr">
        <is>
          <t>SKÅNE LÄN</t>
        </is>
      </c>
      <c r="E34" t="inlineStr">
        <is>
          <t>SVEDALA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46203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46203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64058-2025</t>
        </is>
      </c>
      <c r="B37" s="1" t="n">
        <v>46021</v>
      </c>
      <c r="C37" s="1" t="n">
        <v>46203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46203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46203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57803-2022</t>
        </is>
      </c>
      <c r="B40" s="1" t="n">
        <v>44897</v>
      </c>
      <c r="C40" s="1" t="n">
        <v>46203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</v>
      </c>
      <c r="C41" s="1" t="n">
        <v>46203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25275-2026</t>
        </is>
      </c>
      <c r="B42" s="1" t="n">
        <v>46176</v>
      </c>
      <c r="C42" s="1" t="n">
        <v>46203</v>
      </c>
      <c r="D42" t="inlineStr">
        <is>
          <t>SKÅNE LÄN</t>
        </is>
      </c>
      <c r="E42" t="inlineStr">
        <is>
          <t>SVEDALA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26080-2026</t>
        </is>
      </c>
      <c r="B43" s="1" t="n">
        <v>46181</v>
      </c>
      <c r="C43" s="1" t="n">
        <v>46203</v>
      </c>
      <c r="D43" t="inlineStr">
        <is>
          <t>SKÅNE LÄN</t>
        </is>
      </c>
      <c r="E43" t="inlineStr">
        <is>
          <t>SVEDALA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26073-2026</t>
        </is>
      </c>
      <c r="B44" s="1" t="n">
        <v>46181</v>
      </c>
      <c r="C44" s="1" t="n">
        <v>46203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46203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27844-2026</t>
        </is>
      </c>
      <c r="B46" s="1" t="n">
        <v>46191</v>
      </c>
      <c r="C46" s="1" t="n">
        <v>46203</v>
      </c>
      <c r="D46" t="inlineStr">
        <is>
          <t>SKÅNE LÄN</t>
        </is>
      </c>
      <c r="E46" t="inlineStr">
        <is>
          <t>SVEDALA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46203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54580-2023</t>
        </is>
      </c>
      <c r="B48" s="1" t="n">
        <v>45233</v>
      </c>
      <c r="C48" s="1" t="n">
        <v>46203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19268-2024</t>
        </is>
      </c>
      <c r="B49" s="1" t="n">
        <v>45428</v>
      </c>
      <c r="C49" s="1" t="n">
        <v>46203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46203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56202-2023</t>
        </is>
      </c>
      <c r="B51" s="1" t="n">
        <v>45240</v>
      </c>
      <c r="C51" s="1" t="n">
        <v>46203</v>
      </c>
      <c r="D51" t="inlineStr">
        <is>
          <t>SKÅNE LÄN</t>
        </is>
      </c>
      <c r="E51" t="inlineStr">
        <is>
          <t>SVEDALA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46203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15277-2024</t>
        </is>
      </c>
      <c r="B53" s="1" t="n">
        <v>45400</v>
      </c>
      <c r="C53" s="1" t="n">
        <v>46203</v>
      </c>
      <c r="D53" t="inlineStr">
        <is>
          <t>SKÅNE LÄN</t>
        </is>
      </c>
      <c r="E53" t="inlineStr">
        <is>
          <t>SVEDALA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27113-2022</t>
        </is>
      </c>
      <c r="B54" s="1" t="n">
        <v>44741</v>
      </c>
      <c r="C54" s="1" t="n">
        <v>46203</v>
      </c>
      <c r="D54" t="inlineStr">
        <is>
          <t>SKÅNE LÄN</t>
        </is>
      </c>
      <c r="E54" t="inlineStr">
        <is>
          <t>SVEDALA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29030-2023</t>
        </is>
      </c>
      <c r="B55" s="1" t="n">
        <v>45104</v>
      </c>
      <c r="C55" s="1" t="n">
        <v>46203</v>
      </c>
      <c r="D55" t="inlineStr">
        <is>
          <t>SKÅNE LÄN</t>
        </is>
      </c>
      <c r="E55" t="inlineStr">
        <is>
          <t>SVEDALA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54282-2023</t>
        </is>
      </c>
      <c r="B56" s="1" t="n">
        <v>45232</v>
      </c>
      <c r="C56" s="1" t="n">
        <v>46203</v>
      </c>
      <c r="D56" t="inlineStr">
        <is>
          <t>SKÅNE LÄN</t>
        </is>
      </c>
      <c r="E56" t="inlineStr">
        <is>
          <t>SVEDALA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