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46249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46249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46249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46249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46249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46249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46249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46249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46249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31697-2023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45117</v>
      </c>
      <c r="E11" s="1" t="n">
        <v>46249</v>
      </c>
      <c r="F11" t="inlineStr">
        <is>
          <t>SKÅNE LÄN</t>
        </is>
      </c>
      <c r="G11" t="inlineStr">
        <is>
          <t>SVEDALA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Lövgroda
Större vattensalamander</t>
        </is>
      </c>
      <c r="W11">
        <f>HYPERLINK("https://klasma.github.io/Logging_1263/artfynd/A 31697-2023 artfynd.xlsx", "A 31697-2023")</f>
        <v/>
      </c>
      <c r="X11">
        <f>HYPERLINK("https://klasma.github.io/Logging_1263/kartor/A 31697-2023 karta.png", "A 31697-2023")</f>
        <v/>
      </c>
      <c r="Y11">
        <f>HYPERLINK("https://klasma.github.io/Logging_1263/kartor_geotiff/A 31697-2023 georefererad karta.tif", "A 31697-2023")</f>
        <v/>
      </c>
      <c r="AA11">
        <f>HYPERLINK("https://klasma.github.io/Logging_1263/klagomål/A 31697-2023 FSC-klagomål.docx", "A 31697-2023")</f>
        <v/>
      </c>
      <c r="AB11">
        <f>HYPERLINK("https://klasma.github.io/Logging_1263/klagomålsmail/A 31697-2023 FSC-klagomål mail.docx", "A 31697-2023")</f>
        <v/>
      </c>
      <c r="AC11">
        <f>HYPERLINK("https://klasma.github.io/Logging_1263/tillsyn/A 31697-2023 tillsynsbegäran.docx", "A 31697-2023")</f>
        <v/>
      </c>
      <c r="AD11">
        <f>HYPERLINK("https://klasma.github.io/Logging_1263/tillsynsmail/A 31697-2023 tillsynsbegäran mail.docx", "A 31697-2023")</f>
        <v/>
      </c>
    </row>
    <row r="12" ht="15" customHeight="1">
      <c r="A12" t="inlineStr">
        <is>
          <t>A 15565-2024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45401</v>
      </c>
      <c r="E12" s="1" t="n">
        <v>46249</v>
      </c>
      <c r="F12" t="inlineStr">
        <is>
          <t>SKÅNE LÄN</t>
        </is>
      </c>
      <c r="G12" t="inlineStr">
        <is>
          <t>SVEDALA</t>
        </is>
      </c>
      <c r="I12" t="n">
        <v>7</v>
      </c>
      <c r="J12" t="n">
        <v>0</v>
      </c>
      <c r="K12" t="n">
        <v>0</v>
      </c>
      <c r="L12" t="n">
        <v>0</v>
      </c>
      <c r="M12" t="n">
        <v>1</v>
      </c>
      <c r="N12" t="n">
        <v>1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2</v>
      </c>
      <c r="V12" s="2" t="inlineStr">
        <is>
          <t>Skogsalm
Igelkott</t>
        </is>
      </c>
      <c r="W12">
        <f>HYPERLINK("https://klasma.github.io/Logging_1263/artfynd/A 15565-2024 artfynd.xlsx", "A 15565-2024")</f>
        <v/>
      </c>
      <c r="X12">
        <f>HYPERLINK("https://klasma.github.io/Logging_1263/kartor/A 15565-2024 karta.png", "A 15565-2024")</f>
        <v/>
      </c>
      <c r="Y12">
        <f>HYPERLINK("https://klasma.github.io/Logging_1263/kartor_geotiff/A 15565-2024 georefererad karta.tif", "A 15565-2024")</f>
        <v/>
      </c>
      <c r="AA12">
        <f>HYPERLINK("https://klasma.github.io/Logging_1263/klagomål/A 15565-2024 FSC-klagomål.docx", "A 15565-2024")</f>
        <v/>
      </c>
      <c r="AB12">
        <f>HYPERLINK("https://klasma.github.io/Logging_1263/klagomålsmail/A 15565-2024 FSC-klagomål mail.docx", "A 15565-2024")</f>
        <v/>
      </c>
      <c r="AC12">
        <f>HYPERLINK("https://klasma.github.io/Logging_1263/tillsyn/A 15565-2024 tillsynsbegäran.docx", "A 15565-2024")</f>
        <v/>
      </c>
      <c r="AD12">
        <f>HYPERLINK("https://klasma.github.io/Logging_1263/tillsynsmail/A 15565-2024 tillsynsbegäran mail.docx", "A 15565-2024")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46249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46249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46249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46249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46249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46249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46249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46249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46249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46249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46249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46249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46249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46249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46249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46249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54280-2023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46249</v>
      </c>
      <c r="F29" t="inlineStr">
        <is>
          <t>SKÅNE LÄN</t>
        </is>
      </c>
      <c r="G29" t="inlineStr">
        <is>
          <t>SVEDALA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46249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46249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46249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46249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46249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46249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46249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46249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45400</v>
      </c>
      <c r="E38" s="1" t="n">
        <v>46249</v>
      </c>
      <c r="F38" t="inlineStr">
        <is>
          <t>SKÅNE LÄN</t>
        </is>
      </c>
      <c r="G38" t="inlineStr">
        <is>
          <t>SVEDALA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46249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27113-2022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46249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46249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29030-2023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45104</v>
      </c>
      <c r="E42" s="1" t="n">
        <v>46249</v>
      </c>
      <c r="F42" t="inlineStr">
        <is>
          <t>SKÅNE LÄN</t>
        </is>
      </c>
      <c r="G42" t="inlineStr">
        <is>
          <t>SVEDALA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46249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64049-2025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46021</v>
      </c>
      <c r="E44" s="1" t="n">
        <v>46249</v>
      </c>
      <c r="F44" t="inlineStr">
        <is>
          <t>SKÅNE LÄN</t>
        </is>
      </c>
      <c r="G44" t="inlineStr">
        <is>
          <t>SVEDALA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64051-2025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46249</v>
      </c>
      <c r="F45" t="inlineStr">
        <is>
          <t>SKÅNE LÄN</t>
        </is>
      </c>
      <c r="G45" t="inlineStr">
        <is>
          <t>SVEDALA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64055-2025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46249</v>
      </c>
      <c r="F46" t="inlineStr">
        <is>
          <t>SKÅNE LÄN</t>
        </is>
      </c>
      <c r="G46" t="inlineStr">
        <is>
          <t>SVEDALA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46249</v>
      </c>
      <c r="F47" t="inlineStr">
        <is>
          <t>SKÅNE LÄN</t>
        </is>
      </c>
      <c r="G47" t="inlineStr">
        <is>
          <t>SVEDALA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19190-2023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45048</v>
      </c>
      <c r="E48" s="1" t="n">
        <v>46249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46249</v>
      </c>
      <c r="F49" t="inlineStr">
        <is>
          <t>SKÅNE LÄN</t>
        </is>
      </c>
      <c r="G49" t="inlineStr">
        <is>
          <t>SVEDALA</t>
        </is>
      </c>
      <c r="I49" t="n">
        <v>13.5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54580-2023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45233</v>
      </c>
      <c r="E50" s="1" t="n">
        <v>46249</v>
      </c>
      <c r="F50" t="inlineStr">
        <is>
          <t>SKÅNE LÄN</t>
        </is>
      </c>
      <c r="G50" t="inlineStr">
        <is>
          <t>SVEDALA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18888-2024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45427</v>
      </c>
      <c r="E51" s="1" t="n">
        <v>46249</v>
      </c>
      <c r="F51" t="inlineStr">
        <is>
          <t>SKÅNE LÄN</t>
        </is>
      </c>
      <c r="G51" t="inlineStr">
        <is>
          <t>SVEDALA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51318-2025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45950</v>
      </c>
      <c r="E52" s="1" t="n">
        <v>46249</v>
      </c>
      <c r="F52" t="inlineStr">
        <is>
          <t>SKÅNE LÄN</t>
        </is>
      </c>
      <c r="G52" t="inlineStr">
        <is>
          <t>SVEDALA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46249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46249</v>
      </c>
      <c r="F54" t="inlineStr">
        <is>
          <t>SKÅNE LÄN</t>
        </is>
      </c>
      <c r="G54" t="inlineStr">
        <is>
          <t>SVEDALA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27844-2026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46191</v>
      </c>
      <c r="E55" s="1" t="n">
        <v>46249</v>
      </c>
      <c r="F55" t="inlineStr">
        <is>
          <t>SKÅNE LÄN</t>
        </is>
      </c>
      <c r="G55" t="inlineStr">
        <is>
          <t>SVEDALA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56202-2023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45240</v>
      </c>
      <c r="E56" s="1" t="n">
        <v>46249</v>
      </c>
      <c r="F56" t="inlineStr">
        <is>
          <t>SKÅNE LÄN</t>
        </is>
      </c>
      <c r="G56" t="inlineStr">
        <is>
          <t>SVEDALA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46249</v>
      </c>
      <c r="F57" t="inlineStr">
        <is>
          <t>SKÅNE LÄN</t>
        </is>
      </c>
      <c r="G57" t="inlineStr">
        <is>
          <t>SVEDALA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25275-2026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46249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46249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46249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46249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