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46288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46288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46288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46288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46288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46288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46288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46288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46288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46288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46288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15582-2024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46288</v>
      </c>
      <c r="F26" t="inlineStr">
        <is>
          <t>SKÅNE LÄN</t>
        </is>
      </c>
      <c r="G26" t="inlineStr">
        <is>
          <t>SVEDALA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Trana</t>
        </is>
      </c>
      <c r="W26">
        <f>HYPERLINK("https://klasma.github.io/Logging_1263/artfynd/A 15582-2024 artfynd.xlsx", "A 15582-2024")</f>
        <v/>
      </c>
      <c r="X26">
        <f>HYPERLINK("https://klasma.github.io/Logging_1263/kartor/A 15582-2024 karta.png", "A 15582-2024")</f>
        <v/>
      </c>
      <c r="Y26">
        <f>HYPERLINK("https://klasma.github.io/Logging_1263/kartor_geotiff/A 15582-2024 georefererad karta.tif", "A 15582-2024")</f>
        <v/>
      </c>
      <c r="AA26">
        <f>HYPERLINK("https://klasma.github.io/Logging_1263/klagomål/A 15582-2024 FSC-klagomål.docx", "A 15582-2024")</f>
        <v/>
      </c>
      <c r="AB26">
        <f>HYPERLINK("https://klasma.github.io/Logging_1263/klagomålsmail/A 15582-2024 FSC-klagomål mail.docx", "A 15582-2024")</f>
        <v/>
      </c>
      <c r="AC26">
        <f>HYPERLINK("https://klasma.github.io/Logging_1263/tillsyn/A 15582-2024 tillsynsbegäran.docx", "A 15582-2024")</f>
        <v/>
      </c>
      <c r="AD26">
        <f>HYPERLINK("https://klasma.github.io/Logging_1263/tillsynsmail/A 15582-2024 tillsynsbegäran mail.docx", "A 15582-2024")</f>
        <v/>
      </c>
      <c r="AE26">
        <f>HYPERLINK("https://klasma.github.io/Logging_1263/fåglar/A 15582-2024 prioriterade fågelarter.docx", "A 15582-2024")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46288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46288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29030-2023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46288</v>
      </c>
      <c r="F29" t="inlineStr">
        <is>
          <t>SKÅNE LÄN</t>
        </is>
      </c>
      <c r="G29" t="inlineStr">
        <is>
          <t>SVEDALA</t>
        </is>
      </c>
      <c r="I29" t="n">
        <v>8.1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46288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46288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46288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46288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46288</v>
      </c>
      <c r="F34" t="inlineStr">
        <is>
          <t>SKÅNE LÄN</t>
        </is>
      </c>
      <c r="G34" t="inlineStr">
        <is>
          <t>SVEDALA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46288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45232</v>
      </c>
      <c r="E36" s="1" t="n">
        <v>46288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46288</v>
      </c>
      <c r="F37" t="inlineStr">
        <is>
          <t>SKÅNE LÄN</t>
        </is>
      </c>
      <c r="G37" t="inlineStr">
        <is>
          <t>SVEDALA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45233</v>
      </c>
      <c r="E38" s="1" t="n">
        <v>46288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46288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46288</v>
      </c>
      <c r="F40" t="inlineStr">
        <is>
          <t>SKÅNE LÄN</t>
        </is>
      </c>
      <c r="G40" t="inlineStr">
        <is>
          <t>SVEDALA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27844-2026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46191</v>
      </c>
      <c r="E41" s="1" t="n">
        <v>46288</v>
      </c>
      <c r="F41" t="inlineStr">
        <is>
          <t>SKÅNE LÄN</t>
        </is>
      </c>
      <c r="G41" t="inlineStr">
        <is>
          <t>SVEDALA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46288</v>
      </c>
      <c r="F42" t="inlineStr">
        <is>
          <t>SKÅNE LÄN</t>
        </is>
      </c>
      <c r="G42" t="inlineStr">
        <is>
          <t>SVEDALA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46288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46288</v>
      </c>
      <c r="F44" t="inlineStr">
        <is>
          <t>SKÅNE LÄN</t>
        </is>
      </c>
      <c r="G44" t="inlineStr">
        <is>
          <t>SVEDALA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46288</v>
      </c>
      <c r="F45" t="inlineStr">
        <is>
          <t>SKÅNE LÄN</t>
        </is>
      </c>
      <c r="G45" t="inlineStr">
        <is>
          <t>SVEDALA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45400</v>
      </c>
      <c r="E46" s="1" t="n">
        <v>46288</v>
      </c>
      <c r="F46" t="inlineStr">
        <is>
          <t>SKÅNE LÄN</t>
        </is>
      </c>
      <c r="G46" t="inlineStr">
        <is>
          <t>SVEDALA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46288</v>
      </c>
      <c r="F47" t="inlineStr">
        <is>
          <t>SKÅNE LÄN</t>
        </is>
      </c>
      <c r="G47" t="inlineStr">
        <is>
          <t>SVEDALA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46288</v>
      </c>
      <c r="F48" t="inlineStr">
        <is>
          <t>SKÅNE LÄN</t>
        </is>
      </c>
      <c r="G48" t="inlineStr">
        <is>
          <t>SVEDALA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46288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27113-2022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44741</v>
      </c>
      <c r="E50" s="1" t="n">
        <v>46288</v>
      </c>
      <c r="F50" t="inlineStr">
        <is>
          <t>SKÅNE LÄN</t>
        </is>
      </c>
      <c r="G50" t="inlineStr">
        <is>
          <t>SVEDALA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46288</v>
      </c>
      <c r="F51" t="inlineStr">
        <is>
          <t>SKÅNE LÄN</t>
        </is>
      </c>
      <c r="G51" t="inlineStr">
        <is>
          <t>SVEDALA</t>
        </is>
      </c>
      <c r="I51" t="n">
        <v>13.5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46288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46288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19190-2023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45048</v>
      </c>
      <c r="E54" s="1" t="n">
        <v>46288</v>
      </c>
      <c r="F54" t="inlineStr">
        <is>
          <t>SKÅNE LÄN</t>
        </is>
      </c>
      <c r="G54" t="inlineStr">
        <is>
          <t>SVEDALA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46288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46288</v>
      </c>
      <c r="F56" t="inlineStr">
        <is>
          <t>SKÅNE LÄN</t>
        </is>
      </c>
      <c r="G56" t="inlineStr">
        <is>
          <t>SVEDALA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46288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46288</v>
      </c>
      <c r="F58" t="inlineStr">
        <is>
          <t>SKÅNE LÄN</t>
        </is>
      </c>
      <c r="G58" t="inlineStr">
        <is>
          <t>SVEDALA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46288</v>
      </c>
      <c r="F59" t="inlineStr">
        <is>
          <t>SKÅNE LÄN</t>
        </is>
      </c>
      <c r="G59" t="inlineStr">
        <is>
          <t>SVEDALA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46288</v>
      </c>
      <c r="F60" t="inlineStr">
        <is>
          <t>SKÅNE LÄN</t>
        </is>
      </c>
      <c r="G60" t="inlineStr">
        <is>
          <t>SVEDALA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46288</v>
      </c>
      <c r="F61" t="inlineStr">
        <is>
          <t>SKÅNE LÄN</t>
        </is>
      </c>
      <c r="G61" t="inlineStr">
        <is>
          <t>SVEDALA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46288</v>
      </c>
      <c r="F62" t="inlineStr">
        <is>
          <t>SKÅNE LÄN</t>
        </is>
      </c>
      <c r="G62" t="inlineStr">
        <is>
          <t>SVEDALA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46288</v>
      </c>
      <c r="F63" t="inlineStr">
        <is>
          <t>SKÅNE LÄN</t>
        </is>
      </c>
      <c r="G63" t="inlineStr">
        <is>
          <t>SVEDALA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45030</v>
      </c>
      <c r="E64" s="1" t="n">
        <v>46288</v>
      </c>
      <c r="F64" t="inlineStr">
        <is>
          <t>SKÅNE LÄN</t>
        </is>
      </c>
      <c r="G64" t="inlineStr">
        <is>
          <t>SVEDALA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45427</v>
      </c>
      <c r="E65" s="1" t="n">
        <v>46288</v>
      </c>
      <c r="F65" t="inlineStr">
        <is>
          <t>SKÅNE LÄN</t>
        </is>
      </c>
      <c r="G65" t="inlineStr">
        <is>
          <t>SVEDALA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46288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46288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