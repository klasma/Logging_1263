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46261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46261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46261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46261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46261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46261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46261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46261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46261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46261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46261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46261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Korallticka
Ekoxe</t>
        </is>
      </c>
      <c r="W13">
        <f>HYPERLINK("https://klasma.github.io/Logging_1263/artfynd/A 2482-2025 artfynd.xlsx", "A 2482-2025")</f>
        <v/>
      </c>
      <c r="X13">
        <f>HYPERLINK("https://klasma.github.io/Logging_1263/kartor/A 2482-2025 karta.png", "A 2482-2025")</f>
        <v/>
      </c>
      <c r="Y13">
        <f>HYPERLINK("https://klasma.github.io/Logging_1263/kartor_geotiff/A 2482-2025 georefererad karta.tif", "A 2482-2025")</f>
        <v/>
      </c>
      <c r="AA13">
        <f>HYPERLINK("https://klasma.github.io/Logging_1263/klagomål/A 2482-2025 FSC-klagomål.docx", "A 2482-2025")</f>
        <v/>
      </c>
      <c r="AB13">
        <f>HYPERLINK("https://klasma.github.io/Logging_1263/klagomålsmail/A 2482-2025 FSC-klagomål mail.docx", "A 2482-2025")</f>
        <v/>
      </c>
      <c r="AC13">
        <f>HYPERLINK("https://klasma.github.io/Logging_1263/tillsyn/A 2482-2025 tillsynsbegäran.docx", "A 2482-2025")</f>
        <v/>
      </c>
      <c r="AD13">
        <f>HYPERLINK("https://klasma.github.io/Logging_1263/tillsynsmail/A 2482-2025 tillsynsbegäran mail.docx", "A 2482-2025")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46261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25022-2026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46261</v>
      </c>
      <c r="F15" t="inlineStr">
        <is>
          <t>SKÅNE LÄN</t>
        </is>
      </c>
      <c r="G15" t="inlineStr">
        <is>
          <t>SVEDALA</t>
        </is>
      </c>
      <c r="I15" t="n">
        <v>4.2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Mindre tåtelsmygare
Skogsknipprot</t>
        </is>
      </c>
      <c r="W15">
        <f>HYPERLINK("https://klasma.github.io/Logging_1263/artfynd/A 25022-2026 artfynd.xlsx", "A 25022-2026")</f>
        <v/>
      </c>
      <c r="X15">
        <f>HYPERLINK("https://klasma.github.io/Logging_1263/kartor/A 25022-2026 karta.png", "A 25022-2026")</f>
        <v/>
      </c>
      <c r="Y15">
        <f>HYPERLINK("https://klasma.github.io/Logging_1263/kartor_geotiff/A 25022-2026 georefererad karta.tif", "A 25022-2026")</f>
        <v/>
      </c>
      <c r="AA15">
        <f>HYPERLINK("https://klasma.github.io/Logging_1263/klagomål/A 25022-2026 FSC-klagomål.docx", "A 25022-2026")</f>
        <v/>
      </c>
      <c r="AB15">
        <f>HYPERLINK("https://klasma.github.io/Logging_1263/klagomålsmail/A 25022-2026 FSC-klagomål mail.docx", "A 25022-2026")</f>
        <v/>
      </c>
      <c r="AC15">
        <f>HYPERLINK("https://klasma.github.io/Logging_1263/tillsyn/A 25022-2026 tillsynsbegäran.docx", "A 25022-2026")</f>
        <v/>
      </c>
      <c r="AD15">
        <f>HYPERLINK("https://klasma.github.io/Logging_1263/tillsynsmail/A 25022-2026 tillsynsbegäran mail.docx", "A 25022-2026")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46261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38011-2023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45160</v>
      </c>
      <c r="E17" s="1" t="n">
        <v>46261</v>
      </c>
      <c r="F17" t="inlineStr">
        <is>
          <t>SKÅNE LÄN</t>
        </is>
      </c>
      <c r="G17" t="inlineStr">
        <is>
          <t>SVEDALA</t>
        </is>
      </c>
      <c r="I17" t="n">
        <v>2.8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Lökgroda
Skogsknipprot</t>
        </is>
      </c>
      <c r="W17">
        <f>HYPERLINK("https://klasma.github.io/Logging_1263/artfynd/A 38011-2023 artfynd.xlsx", "A 38011-2023")</f>
        <v/>
      </c>
      <c r="X17">
        <f>HYPERLINK("https://klasma.github.io/Logging_1263/kartor/A 38011-2023 karta.png", "A 38011-2023")</f>
        <v/>
      </c>
      <c r="Y17">
        <f>HYPERLINK("https://klasma.github.io/Logging_1263/kartor_geotiff/A 38011-2023 georefererad karta.tif", "A 38011-2023")</f>
        <v/>
      </c>
      <c r="AA17">
        <f>HYPERLINK("https://klasma.github.io/Logging_1263/klagomål/A 38011-2023 FSC-klagomål.docx", "A 38011-2023")</f>
        <v/>
      </c>
      <c r="AB17">
        <f>HYPERLINK("https://klasma.github.io/Logging_1263/klagomålsmail/A 38011-2023 FSC-klagomål mail.docx", "A 38011-2023")</f>
        <v/>
      </c>
      <c r="AC17">
        <f>HYPERLINK("https://klasma.github.io/Logging_1263/tillsyn/A 38011-2023 tillsynsbegäran.docx", "A 38011-2023")</f>
        <v/>
      </c>
      <c r="AD17">
        <f>HYPERLINK("https://klasma.github.io/Logging_1263/tillsynsmail/A 38011-2023 tillsynsbegäran mail.docx", "A 38011-2023")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46261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46261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46261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46261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46261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25054-2026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46174</v>
      </c>
      <c r="E23" s="1" t="n">
        <v>46261</v>
      </c>
      <c r="F23" t="inlineStr">
        <is>
          <t>SKÅNE LÄN</t>
        </is>
      </c>
      <c r="G23" t="inlineStr">
        <is>
          <t>SVEDALA</t>
        </is>
      </c>
      <c r="I23" t="n">
        <v>3.8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Fransig jordstjärna</t>
        </is>
      </c>
      <c r="W23">
        <f>HYPERLINK("https://klasma.github.io/Logging_1263/artfynd/A 25054-2026 artfynd.xlsx", "A 25054-2026")</f>
        <v/>
      </c>
      <c r="X23">
        <f>HYPERLINK("https://klasma.github.io/Logging_1263/kartor/A 25054-2026 karta.png", "A 25054-2026")</f>
        <v/>
      </c>
      <c r="Y23">
        <f>HYPERLINK("https://klasma.github.io/Logging_1263/kartor_geotiff/A 25054-2026 georefererad karta.tif", "A 25054-2026")</f>
        <v/>
      </c>
      <c r="AA23">
        <f>HYPERLINK("https://klasma.github.io/Logging_1263/klagomål/A 25054-2026 FSC-klagomål.docx", "A 25054-2026")</f>
        <v/>
      </c>
      <c r="AB23">
        <f>HYPERLINK("https://klasma.github.io/Logging_1263/klagomålsmail/A 25054-2026 FSC-klagomål mail.docx", "A 25054-2026")</f>
        <v/>
      </c>
      <c r="AC23">
        <f>HYPERLINK("https://klasma.github.io/Logging_1263/tillsyn/A 25054-2026 tillsynsbegäran.docx", "A 25054-2026")</f>
        <v/>
      </c>
      <c r="AD23">
        <f>HYPERLINK("https://klasma.github.io/Logging_1263/tillsynsmail/A 25054-2026 tillsynsbegäran mail.docx", "A 25054-2026")</f>
        <v/>
      </c>
    </row>
    <row r="24" ht="15" customHeight="1">
      <c r="A24" t="inlineStr">
        <is>
          <t>A 16684-2023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46261</v>
      </c>
      <c r="F24" t="inlineStr">
        <is>
          <t>SKÅNE LÄN</t>
        </is>
      </c>
      <c r="G24" t="inlineStr">
        <is>
          <t>SVEDALA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Större grynsnäcka</t>
        </is>
      </c>
      <c r="W24">
        <f>HYPERLINK("https://klasma.github.io/Logging_1263/artfynd/A 16684-2023 artfynd.xlsx", "A 16684-2023")</f>
        <v/>
      </c>
      <c r="X24">
        <f>HYPERLINK("https://klasma.github.io/Logging_1263/kartor/A 16684-2023 karta.png", "A 16684-2023")</f>
        <v/>
      </c>
      <c r="Y24">
        <f>HYPERLINK("https://klasma.github.io/Logging_1263/kartor_geotiff/A 16684-2023 georefererad karta.tif", "A 16684-2023")</f>
        <v/>
      </c>
      <c r="AA24">
        <f>HYPERLINK("https://klasma.github.io/Logging_1263/klagomål/A 16684-2023 FSC-klagomål.docx", "A 16684-2023")</f>
        <v/>
      </c>
      <c r="AB24">
        <f>HYPERLINK("https://klasma.github.io/Logging_1263/klagomålsmail/A 16684-2023 FSC-klagomål mail.docx", "A 16684-2023")</f>
        <v/>
      </c>
      <c r="AC24">
        <f>HYPERLINK("https://klasma.github.io/Logging_1263/tillsyn/A 16684-2023 tillsynsbegäran.docx", "A 16684-2023")</f>
        <v/>
      </c>
      <c r="AD24">
        <f>HYPERLINK("https://klasma.github.io/Logging_1263/tillsynsmail/A 16684-2023 tillsynsbegäran mail.docx", "A 16684-2023")</f>
        <v/>
      </c>
    </row>
    <row r="25" ht="15" customHeight="1">
      <c r="A25" t="inlineStr">
        <is>
          <t>A 15571-2024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46261</v>
      </c>
      <c r="F25" t="inlineStr">
        <is>
          <t>SKÅNE LÄN</t>
        </is>
      </c>
      <c r="G25" t="inlineStr">
        <is>
          <t>SVEDALA</t>
        </is>
      </c>
      <c r="I25" t="n">
        <v>11.1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skogssnigel</t>
        </is>
      </c>
      <c r="W25">
        <f>HYPERLINK("https://klasma.github.io/Logging_1263/artfynd/A 15571-2024 artfynd.xlsx", "A 15571-2024")</f>
        <v/>
      </c>
      <c r="X25">
        <f>HYPERLINK("https://klasma.github.io/Logging_1263/kartor/A 15571-2024 karta.png", "A 15571-2024")</f>
        <v/>
      </c>
      <c r="Y25">
        <f>HYPERLINK("https://klasma.github.io/Logging_1263/kartor_geotiff/A 15571-2024 georefererad karta.tif", "A 15571-2024")</f>
        <v/>
      </c>
      <c r="AA25">
        <f>HYPERLINK("https://klasma.github.io/Logging_1263/klagomål/A 15571-2024 FSC-klagomål.docx", "A 15571-2024")</f>
        <v/>
      </c>
      <c r="AB25">
        <f>HYPERLINK("https://klasma.github.io/Logging_1263/klagomålsmail/A 15571-2024 FSC-klagomål mail.docx", "A 15571-2024")</f>
        <v/>
      </c>
      <c r="AC25">
        <f>HYPERLINK("https://klasma.github.io/Logging_1263/tillsyn/A 15571-2024 tillsynsbegäran.docx", "A 15571-2024")</f>
        <v/>
      </c>
      <c r="AD25">
        <f>HYPERLINK("https://klasma.github.io/Logging_1263/tillsynsmail/A 15571-2024 tillsynsbegäran mail.docx", "A 15571-2024")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46261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46261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46261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46261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46021</v>
      </c>
      <c r="E30" s="1" t="n">
        <v>46261</v>
      </c>
      <c r="F30" t="inlineStr">
        <is>
          <t>SKÅNE LÄN</t>
        </is>
      </c>
      <c r="G30" t="inlineStr">
        <is>
          <t>SVEDALA</t>
        </is>
      </c>
      <c r="I30" t="n">
        <v>6.4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31693-2023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46261</v>
      </c>
      <c r="F31" t="inlineStr">
        <is>
          <t>SKÅNE LÄN</t>
        </is>
      </c>
      <c r="G31" t="inlineStr">
        <is>
          <t>SVEDALA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64049-2025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46021</v>
      </c>
      <c r="E32" s="1" t="n">
        <v>46261</v>
      </c>
      <c r="F32" t="inlineStr">
        <is>
          <t>SKÅNE LÄN</t>
        </is>
      </c>
      <c r="G32" t="inlineStr">
        <is>
          <t>SVEDALA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64051-2025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46261</v>
      </c>
      <c r="F33" t="inlineStr">
        <is>
          <t>SKÅNE LÄN</t>
        </is>
      </c>
      <c r="G33" t="inlineStr">
        <is>
          <t>SVEDALA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46261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46261</v>
      </c>
      <c r="F35" t="inlineStr">
        <is>
          <t>SKÅNE LÄN</t>
        </is>
      </c>
      <c r="G35" t="inlineStr">
        <is>
          <t>SVEDALA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13344-2023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45005</v>
      </c>
      <c r="E36" s="1" t="n">
        <v>46261</v>
      </c>
      <c r="F36" t="inlineStr">
        <is>
          <t>SKÅNE LÄN</t>
        </is>
      </c>
      <c r="G36" t="inlineStr">
        <is>
          <t>SVEDALA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67456-2021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44524</v>
      </c>
      <c r="E37" s="1" t="n">
        <v>46261</v>
      </c>
      <c r="F37" t="inlineStr">
        <is>
          <t>SKÅNE LÄN</t>
        </is>
      </c>
      <c r="G37" t="inlineStr">
        <is>
          <t>SVEDALA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16690-2023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45030</v>
      </c>
      <c r="E38" s="1" t="n">
        <v>46261</v>
      </c>
      <c r="F38" t="inlineStr">
        <is>
          <t>SKÅNE LÄN</t>
        </is>
      </c>
      <c r="G38" t="inlineStr">
        <is>
          <t>SVEDALA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59432-2022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44907</v>
      </c>
      <c r="E39" s="1" t="n">
        <v>46261</v>
      </c>
      <c r="F39" t="inlineStr">
        <is>
          <t>SKÅNE LÄN</t>
        </is>
      </c>
      <c r="G39" t="inlineStr">
        <is>
          <t>SVEDALA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46261</v>
      </c>
      <c r="F40" t="inlineStr">
        <is>
          <t>SKÅNE LÄN</t>
        </is>
      </c>
      <c r="G40" t="inlineStr">
        <is>
          <t>SVEDALA</t>
        </is>
      </c>
      <c r="I40" t="n">
        <v>8.9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57803-2022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46261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15577-2024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46261</v>
      </c>
      <c r="F42" t="inlineStr">
        <is>
          <t>SKÅNE LÄN</t>
        </is>
      </c>
      <c r="G42" t="inlineStr">
        <is>
          <t>SVEDALA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51318-2025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45950</v>
      </c>
      <c r="E43" s="1" t="n">
        <v>46261</v>
      </c>
      <c r="F43" t="inlineStr">
        <is>
          <t>SKÅNE LÄN</t>
        </is>
      </c>
      <c r="G43" t="inlineStr">
        <is>
          <t>SVEDALA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27844-2026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46191</v>
      </c>
      <c r="E44" s="1" t="n">
        <v>46261</v>
      </c>
      <c r="F44" t="inlineStr">
        <is>
          <t>SKÅNE LÄN</t>
        </is>
      </c>
      <c r="G44" t="inlineStr">
        <is>
          <t>SVEDALA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19190-2023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45048</v>
      </c>
      <c r="E45" s="1" t="n">
        <v>46261</v>
      </c>
      <c r="F45" t="inlineStr">
        <is>
          <t>SKÅNE LÄN</t>
        </is>
      </c>
      <c r="G45" t="inlineStr">
        <is>
          <t>SVEDALA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26073-2026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46261</v>
      </c>
      <c r="F46" t="inlineStr">
        <is>
          <t>SKÅNE LÄN</t>
        </is>
      </c>
      <c r="G46" t="inlineStr">
        <is>
          <t>SVEDALA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25275-2026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46176</v>
      </c>
      <c r="E47" s="1" t="n">
        <v>46261</v>
      </c>
      <c r="F47" t="inlineStr">
        <is>
          <t>SKÅNE LÄN</t>
        </is>
      </c>
      <c r="G47" t="inlineStr">
        <is>
          <t>SVEDALA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46261</v>
      </c>
      <c r="F48" t="inlineStr">
        <is>
          <t>SKÅNE LÄN</t>
        </is>
      </c>
      <c r="G48" t="inlineStr">
        <is>
          <t>SVEDALA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16199-2024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45406</v>
      </c>
      <c r="E49" s="1" t="n">
        <v>46261</v>
      </c>
      <c r="F49" t="inlineStr">
        <is>
          <t>SKÅNE LÄN</t>
        </is>
      </c>
      <c r="G49" t="inlineStr">
        <is>
          <t>SVEDALA</t>
        </is>
      </c>
      <c r="I49" t="n">
        <v>13.5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45233</v>
      </c>
      <c r="E50" s="1" t="n">
        <v>46261</v>
      </c>
      <c r="F50" t="inlineStr">
        <is>
          <t>SKÅNE LÄN</t>
        </is>
      </c>
      <c r="G50" t="inlineStr">
        <is>
          <t>SVEDALA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46261</v>
      </c>
      <c r="F51" t="inlineStr">
        <is>
          <t>SKÅNE LÄN</t>
        </is>
      </c>
      <c r="G51" t="inlineStr">
        <is>
          <t>SVEDALA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54284-2023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46261</v>
      </c>
      <c r="F52" t="inlineStr">
        <is>
          <t>SKÅNE LÄN</t>
        </is>
      </c>
      <c r="G52" t="inlineStr">
        <is>
          <t>SVEDALA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56202-2023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45240</v>
      </c>
      <c r="E53" s="1" t="n">
        <v>46261</v>
      </c>
      <c r="F53" t="inlineStr">
        <is>
          <t>SKÅNE LÄN</t>
        </is>
      </c>
      <c r="G53" t="inlineStr">
        <is>
          <t>SVEDALA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46261</v>
      </c>
      <c r="F54" t="inlineStr">
        <is>
          <t>SKÅNE LÄN</t>
        </is>
      </c>
      <c r="G54" t="inlineStr">
        <is>
          <t>SVEDALA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15277-2024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45400</v>
      </c>
      <c r="E55" s="1" t="n">
        <v>46261</v>
      </c>
      <c r="F55" t="inlineStr">
        <is>
          <t>SKÅNE LÄN</t>
        </is>
      </c>
      <c r="G55" t="inlineStr">
        <is>
          <t>SVEDALA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46261</v>
      </c>
      <c r="F56" t="inlineStr">
        <is>
          <t>SKÅNE LÄN</t>
        </is>
      </c>
      <c r="G56" t="inlineStr">
        <is>
          <t>SVEDALA</t>
        </is>
      </c>
      <c r="I56" t="n">
        <v>8.9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29030-2023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46261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45232</v>
      </c>
      <c r="E58" s="1" t="n">
        <v>46261</v>
      </c>
      <c r="F58" t="inlineStr">
        <is>
          <t>SKÅNE LÄN</t>
        </is>
      </c>
      <c r="G58" t="inlineStr">
        <is>
          <t>SVEDALA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46261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46261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46261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2026-08-27T01:50:15Z</dcterms:created>
  <dcterms:modified xmlns:dcterms="http://purl.org/dc/terms/" xmlns:xsi="http://www.w3.org/2001/XMLSchema-instance" xsi:type="dcterms:W3CDTF">2026-08-27T01:50:15Z</dcterms:modified>
</cp:coreProperties>
</file>