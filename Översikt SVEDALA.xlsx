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46257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46257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46257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46257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46257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46257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46257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46257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46257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58350-2025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46257</v>
      </c>
      <c r="F11" t="inlineStr">
        <is>
          <t>SKÅNE LÄN</t>
        </is>
      </c>
      <c r="G11" t="inlineStr">
        <is>
          <t>SVEDALA</t>
        </is>
      </c>
      <c r="I11" t="n">
        <v>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Koralltaggsvamp
Stor revmossa</t>
        </is>
      </c>
      <c r="W11">
        <f>HYPERLINK("https://klasma.github.io/Logging_1263/artfynd/A 58350-2025 artfynd.xlsx", "A 58350-2025")</f>
        <v/>
      </c>
      <c r="X11">
        <f>HYPERLINK("https://klasma.github.io/Logging_1263/kartor/A 58350-2025 karta.png", "A 58350-2025")</f>
        <v/>
      </c>
      <c r="Y11">
        <f>HYPERLINK("https://klasma.github.io/Logging_1263/kartor_geotiff/A 58350-2025 georefererad karta.tif", "A 58350-2025")</f>
        <v/>
      </c>
      <c r="AA11">
        <f>HYPERLINK("https://klasma.github.io/Logging_1263/klagomål/A 58350-2025 FSC-klagomål.docx", "A 58350-2025")</f>
        <v/>
      </c>
      <c r="AB11">
        <f>HYPERLINK("https://klasma.github.io/Logging_1263/klagomålsmail/A 58350-2025 FSC-klagomål mail.docx", "A 58350-2025")</f>
        <v/>
      </c>
      <c r="AC11">
        <f>HYPERLINK("https://klasma.github.io/Logging_1263/tillsyn/A 58350-2025 tillsynsbegäran.docx", "A 58350-2025")</f>
        <v/>
      </c>
      <c r="AD11">
        <f>HYPERLINK("https://klasma.github.io/Logging_1263/tillsynsmail/A 58350-2025 tillsynsbegäran mail.docx", "A 58350-2025")</f>
        <v/>
      </c>
    </row>
    <row r="12" ht="15" customHeight="1">
      <c r="A12" t="inlineStr">
        <is>
          <t>A 2482-2025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46257</v>
      </c>
      <c r="F12" t="inlineStr">
        <is>
          <t>SKÅNE LÄN</t>
        </is>
      </c>
      <c r="G12" t="inlineStr">
        <is>
          <t>SVEDALA</t>
        </is>
      </c>
      <c r="I12" t="n">
        <v>0.5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Korallticka
Ekoxe</t>
        </is>
      </c>
      <c r="W12">
        <f>HYPERLINK("https://klasma.github.io/Logging_1263/artfynd/A 2482-2025 artfynd.xlsx", "A 2482-2025")</f>
        <v/>
      </c>
      <c r="X12">
        <f>HYPERLINK("https://klasma.github.io/Logging_1263/kartor/A 2482-2025 karta.png", "A 2482-2025")</f>
        <v/>
      </c>
      <c r="Y12">
        <f>HYPERLINK("https://klasma.github.io/Logging_1263/kartor_geotiff/A 2482-2025 georefererad karta.tif", "A 2482-2025")</f>
        <v/>
      </c>
      <c r="AA12">
        <f>HYPERLINK("https://klasma.github.io/Logging_1263/klagomål/A 2482-2025 FSC-klagomål.docx", "A 2482-2025")</f>
        <v/>
      </c>
      <c r="AB12">
        <f>HYPERLINK("https://klasma.github.io/Logging_1263/klagomålsmail/A 2482-2025 FSC-klagomål mail.docx", "A 2482-2025")</f>
        <v/>
      </c>
      <c r="AC12">
        <f>HYPERLINK("https://klasma.github.io/Logging_1263/tillsyn/A 2482-2025 tillsynsbegäran.docx", "A 2482-2025")</f>
        <v/>
      </c>
      <c r="AD12">
        <f>HYPERLINK("https://klasma.github.io/Logging_1263/tillsynsmail/A 2482-2025 tillsynsbegäran mail.docx", "A 2482-2025")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46257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46257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25022-2026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46257</v>
      </c>
      <c r="F15" t="inlineStr">
        <is>
          <t>SKÅNE LÄN</t>
        </is>
      </c>
      <c r="G15" t="inlineStr">
        <is>
          <t>SVEDALA</t>
        </is>
      </c>
      <c r="I15" t="n">
        <v>4.2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Mindre tåtelsmygare
Skogsknipprot</t>
        </is>
      </c>
      <c r="W15">
        <f>HYPERLINK("https://klasma.github.io/Logging_1263/artfynd/A 25022-2026 artfynd.xlsx", "A 25022-2026")</f>
        <v/>
      </c>
      <c r="X15">
        <f>HYPERLINK("https://klasma.github.io/Logging_1263/kartor/A 25022-2026 karta.png", "A 25022-2026")</f>
        <v/>
      </c>
      <c r="Y15">
        <f>HYPERLINK("https://klasma.github.io/Logging_1263/kartor_geotiff/A 25022-2026 georefererad karta.tif", "A 25022-2026")</f>
        <v/>
      </c>
      <c r="AA15">
        <f>HYPERLINK("https://klasma.github.io/Logging_1263/klagomål/A 25022-2026 FSC-klagomål.docx", "A 25022-2026")</f>
        <v/>
      </c>
      <c r="AB15">
        <f>HYPERLINK("https://klasma.github.io/Logging_1263/klagomålsmail/A 25022-2026 FSC-klagomål mail.docx", "A 25022-2026")</f>
        <v/>
      </c>
      <c r="AC15">
        <f>HYPERLINK("https://klasma.github.io/Logging_1263/tillsyn/A 25022-2026 tillsynsbegäran.docx", "A 25022-2026")</f>
        <v/>
      </c>
      <c r="AD15">
        <f>HYPERLINK("https://klasma.github.io/Logging_1263/tillsynsmail/A 25022-2026 tillsynsbegäran mail.docx", "A 25022-2026")</f>
        <v/>
      </c>
    </row>
    <row r="16" ht="15" customHeight="1">
      <c r="A16" t="inlineStr">
        <is>
          <t>A 15565-2024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46257</v>
      </c>
      <c r="F16" t="inlineStr">
        <is>
          <t>SKÅNE LÄN</t>
        </is>
      </c>
      <c r="G16" t="inlineStr">
        <is>
          <t>SVEDALA</t>
        </is>
      </c>
      <c r="I16" t="n">
        <v>7</v>
      </c>
      <c r="J16" t="n">
        <v>0</v>
      </c>
      <c r="K16" t="n">
        <v>0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2</v>
      </c>
      <c r="V16" s="2" t="inlineStr">
        <is>
          <t>Skogsalm
Igelkott</t>
        </is>
      </c>
      <c r="W16">
        <f>HYPERLINK("https://klasma.github.io/Logging_1263/artfynd/A 15565-2024 artfynd.xlsx", "A 15565-2024")</f>
        <v/>
      </c>
      <c r="X16">
        <f>HYPERLINK("https://klasma.github.io/Logging_1263/kartor/A 15565-2024 karta.png", "A 15565-2024")</f>
        <v/>
      </c>
      <c r="Y16">
        <f>HYPERLINK("https://klasma.github.io/Logging_1263/kartor_geotiff/A 15565-2024 georefererad karta.tif", "A 15565-2024")</f>
        <v/>
      </c>
      <c r="AA16">
        <f>HYPERLINK("https://klasma.github.io/Logging_1263/klagomål/A 15565-2024 FSC-klagomål.docx", "A 15565-2024")</f>
        <v/>
      </c>
      <c r="AB16">
        <f>HYPERLINK("https://klasma.github.io/Logging_1263/klagomålsmail/A 15565-2024 FSC-klagomål mail.docx", "A 15565-2024")</f>
        <v/>
      </c>
      <c r="AC16">
        <f>HYPERLINK("https://klasma.github.io/Logging_1263/tillsyn/A 15565-2024 tillsynsbegäran.docx", "A 15565-2024")</f>
        <v/>
      </c>
      <c r="AD16">
        <f>HYPERLINK("https://klasma.github.io/Logging_1263/tillsynsmail/A 15565-2024 tillsynsbegäran mail.docx", "A 15565-2024")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46257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Lövgroda
Större vattensalamander</t>
        </is>
      </c>
      <c r="W17">
        <f>HYPERLINK("https://klasma.github.io/Logging_1263/artfynd/A 9570-2026 artfynd.xlsx", "A 9570-2026")</f>
        <v/>
      </c>
      <c r="X17">
        <f>HYPERLINK("https://klasma.github.io/Logging_1263/kartor/A 9570-2026 karta.png", "A 9570-2026")</f>
        <v/>
      </c>
      <c r="Y17">
        <f>HYPERLINK("https://klasma.github.io/Logging_1263/kartor_geotiff/A 9570-2026 georefererad karta.tif", "A 9570-2026")</f>
        <v/>
      </c>
      <c r="AA17">
        <f>HYPERLINK("https://klasma.github.io/Logging_1263/klagomål/A 9570-2026 FSC-klagomål.docx", "A 9570-2026")</f>
        <v/>
      </c>
      <c r="AB17">
        <f>HYPERLINK("https://klasma.github.io/Logging_1263/klagomålsmail/A 9570-2026 FSC-klagomål mail.docx", "A 9570-2026")</f>
        <v/>
      </c>
      <c r="AC17">
        <f>HYPERLINK("https://klasma.github.io/Logging_1263/tillsyn/A 9570-2026 tillsynsbegäran.docx", "A 9570-2026")</f>
        <v/>
      </c>
      <c r="AD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46257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46257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46257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46257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46257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46257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46257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46257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46257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46257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57798-2022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44897</v>
      </c>
      <c r="E28" s="1" t="n">
        <v>46257</v>
      </c>
      <c r="F28" t="inlineStr">
        <is>
          <t>SKÅNE LÄN</t>
        </is>
      </c>
      <c r="G28" t="inlineStr">
        <is>
          <t>SVEDALA</t>
        </is>
      </c>
      <c r="I28" t="n">
        <v>8.9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57803-2022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44897</v>
      </c>
      <c r="E29" s="1" t="n">
        <v>46257</v>
      </c>
      <c r="F29" t="inlineStr">
        <is>
          <t>SKÅNE LÄN</t>
        </is>
      </c>
      <c r="G29" t="inlineStr">
        <is>
          <t>SVEDALA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46257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54282-2023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45232</v>
      </c>
      <c r="E31" s="1" t="n">
        <v>46257</v>
      </c>
      <c r="F31" t="inlineStr">
        <is>
          <t>SKÅNE LÄN</t>
        </is>
      </c>
      <c r="G31" t="inlineStr">
        <is>
          <t>SVEDALA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31701-2023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46257</v>
      </c>
      <c r="F32" t="inlineStr">
        <is>
          <t>SKÅNE LÄN</t>
        </is>
      </c>
      <c r="G32" t="inlineStr">
        <is>
          <t>SVEDALA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56202-2023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45240</v>
      </c>
      <c r="E33" s="1" t="n">
        <v>46257</v>
      </c>
      <c r="F33" t="inlineStr">
        <is>
          <t>SKÅNE LÄN</t>
        </is>
      </c>
      <c r="G33" t="inlineStr">
        <is>
          <t>SVEDALA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54580-2023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45233</v>
      </c>
      <c r="E34" s="1" t="n">
        <v>46257</v>
      </c>
      <c r="F34" t="inlineStr">
        <is>
          <t>SKÅNE LÄN</t>
        </is>
      </c>
      <c r="G34" t="inlineStr">
        <is>
          <t>SVEDALA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45232</v>
      </c>
      <c r="E35" s="1" t="n">
        <v>46257</v>
      </c>
      <c r="F35" t="inlineStr">
        <is>
          <t>SKÅNE LÄN</t>
        </is>
      </c>
      <c r="G35" t="inlineStr">
        <is>
          <t>SVEDALA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15277-2024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45400</v>
      </c>
      <c r="E36" s="1" t="n">
        <v>46257</v>
      </c>
      <c r="F36" t="inlineStr">
        <is>
          <t>SKÅNE LÄN</t>
        </is>
      </c>
      <c r="G36" t="inlineStr">
        <is>
          <t>SVEDALA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59432-2022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44907</v>
      </c>
      <c r="E37" s="1" t="n">
        <v>46257</v>
      </c>
      <c r="F37" t="inlineStr">
        <is>
          <t>SKÅNE LÄN</t>
        </is>
      </c>
      <c r="G37" t="inlineStr">
        <is>
          <t>SVEDALA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25603-2024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45463</v>
      </c>
      <c r="E38" s="1" t="n">
        <v>46257</v>
      </c>
      <c r="F38" t="inlineStr">
        <is>
          <t>SKÅNE LÄN</t>
        </is>
      </c>
      <c r="G38" t="inlineStr">
        <is>
          <t>SVEDALA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46257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46257</v>
      </c>
      <c r="F40" t="inlineStr">
        <is>
          <t>SKÅNE LÄN</t>
        </is>
      </c>
      <c r="G40" t="inlineStr">
        <is>
          <t>SVEDALA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46257</v>
      </c>
      <c r="F41" t="inlineStr">
        <is>
          <t>SKÅNE LÄN</t>
        </is>
      </c>
      <c r="G41" t="inlineStr">
        <is>
          <t>SVEDALA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46257</v>
      </c>
      <c r="F42" t="inlineStr">
        <is>
          <t>SKÅNE LÄN</t>
        </is>
      </c>
      <c r="G42" t="inlineStr">
        <is>
          <t>SVEDALA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46257</v>
      </c>
      <c r="F43" t="inlineStr">
        <is>
          <t>SKÅNE LÄN</t>
        </is>
      </c>
      <c r="G43" t="inlineStr">
        <is>
          <t>SVEDALA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45950</v>
      </c>
      <c r="E44" s="1" t="n">
        <v>46257</v>
      </c>
      <c r="F44" t="inlineStr">
        <is>
          <t>SKÅNE LÄN</t>
        </is>
      </c>
      <c r="G44" t="inlineStr">
        <is>
          <t>SVEDALA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31693-2023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46257</v>
      </c>
      <c r="F45" t="inlineStr">
        <is>
          <t>SKÅNE LÄN</t>
        </is>
      </c>
      <c r="G45" t="inlineStr">
        <is>
          <t>SVEDALA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27844-2026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46257</v>
      </c>
      <c r="F46" t="inlineStr">
        <is>
          <t>SKÅNE LÄN</t>
        </is>
      </c>
      <c r="G46" t="inlineStr">
        <is>
          <t>SVEDALA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46257</v>
      </c>
      <c r="F47" t="inlineStr">
        <is>
          <t>SKÅNE LÄN</t>
        </is>
      </c>
      <c r="G47" t="inlineStr">
        <is>
          <t>SVEDALA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25275-2026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46257</v>
      </c>
      <c r="F48" t="inlineStr">
        <is>
          <t>SKÅNE LÄN</t>
        </is>
      </c>
      <c r="G48" t="inlineStr">
        <is>
          <t>SVEDALA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15577-2024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46257</v>
      </c>
      <c r="F49" t="inlineStr">
        <is>
          <t>SKÅNE LÄN</t>
        </is>
      </c>
      <c r="G49" t="inlineStr">
        <is>
          <t>SVEDALA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26080-2026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46257</v>
      </c>
      <c r="F50" t="inlineStr">
        <is>
          <t>SKÅNE LÄN</t>
        </is>
      </c>
      <c r="G50" t="inlineStr">
        <is>
          <t>SVEDALA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46257</v>
      </c>
      <c r="F51" t="inlineStr">
        <is>
          <t>SKÅNE LÄN</t>
        </is>
      </c>
      <c r="G51" t="inlineStr">
        <is>
          <t>SVEDALA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46257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46257</v>
      </c>
      <c r="F53" t="inlineStr">
        <is>
          <t>SKÅNE LÄN</t>
        </is>
      </c>
      <c r="G53" t="inlineStr">
        <is>
          <t>SVEDALA</t>
        </is>
      </c>
      <c r="I53" t="n">
        <v>13.5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45005</v>
      </c>
      <c r="E54" s="1" t="n">
        <v>46257</v>
      </c>
      <c r="F54" t="inlineStr">
        <is>
          <t>SKÅNE LÄN</t>
        </is>
      </c>
      <c r="G54" t="inlineStr">
        <is>
          <t>SVEDALA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19190-2023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45048</v>
      </c>
      <c r="E55" s="1" t="n">
        <v>46257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46257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46257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46257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46257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46257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46257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2026-08-23T01:51:59Z</dcterms:created>
  <dcterms:modified xmlns:dcterms="http://purl.org/dc/terms/" xmlns:xsi="http://www.w3.org/2001/XMLSchema-instance" xsi:type="dcterms:W3CDTF">2026-08-23T01:51:59Z</dcterms:modified>
</cp:coreProperties>
</file>