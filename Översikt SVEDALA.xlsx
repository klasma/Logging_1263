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46301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46301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46301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46301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46301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46301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46301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46301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46301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46301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46301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46301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Korallticka
Ekoxe</t>
        </is>
      </c>
      <c r="W13">
        <f>HYPERLINK("https://klasma.github.io/Logging_1263/artfynd/A 2482-2025 artfynd.xlsx", "A 2482-2025")</f>
        <v/>
      </c>
      <c r="X13">
        <f>HYPERLINK("https://klasma.github.io/Logging_1263/kartor/A 2482-2025 karta.png", "A 2482-2025")</f>
        <v/>
      </c>
      <c r="Y13">
        <f>HYPERLINK("https://klasma.github.io/Logging_1263/kartor_geotiff/A 2482-2025 georefererad karta.tif", "A 2482-2025")</f>
        <v/>
      </c>
      <c r="AA13">
        <f>HYPERLINK("https://klasma.github.io/Logging_1263/klagomål/A 2482-2025 FSC-klagomål.docx", "A 2482-2025")</f>
        <v/>
      </c>
      <c r="AB13">
        <f>HYPERLINK("https://klasma.github.io/Logging_1263/klagomålsmail/A 2482-2025 FSC-klagomål mail.docx", "A 2482-2025")</f>
        <v/>
      </c>
      <c r="AC13">
        <f>HYPERLINK("https://klasma.github.io/Logging_1263/tillsyn/A 2482-2025 tillsynsbegäran.docx", "A 2482-2025")</f>
        <v/>
      </c>
      <c r="AD13">
        <f>HYPERLINK("https://klasma.github.io/Logging_1263/tillsynsmail/A 2482-2025 tillsynsbegäran mail.docx", "A 2482-2025")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46301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46301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46301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58350-2025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45985</v>
      </c>
      <c r="E17" s="1" t="n">
        <v>46301</v>
      </c>
      <c r="F17" t="inlineStr">
        <is>
          <t>SKÅNE LÄN</t>
        </is>
      </c>
      <c r="G17" t="inlineStr">
        <is>
          <t>SVEDALA</t>
        </is>
      </c>
      <c r="I17" t="n">
        <v>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Koralltaggsvamp
Stor revmossa</t>
        </is>
      </c>
      <c r="W17">
        <f>HYPERLINK("https://klasma.github.io/Logging_1263/artfynd/A 58350-2025 artfynd.xlsx", "A 58350-2025")</f>
        <v/>
      </c>
      <c r="X17">
        <f>HYPERLINK("https://klasma.github.io/Logging_1263/kartor/A 58350-2025 karta.png", "A 58350-2025")</f>
        <v/>
      </c>
      <c r="Y17">
        <f>HYPERLINK("https://klasma.github.io/Logging_1263/kartor_geotiff/A 58350-2025 georefererad karta.tif", "A 58350-2025")</f>
        <v/>
      </c>
      <c r="AA17">
        <f>HYPERLINK("https://klasma.github.io/Logging_1263/klagomål/A 58350-2025 FSC-klagomål.docx", "A 58350-2025")</f>
        <v/>
      </c>
      <c r="AB17">
        <f>HYPERLINK("https://klasma.github.io/Logging_1263/klagomålsmail/A 58350-2025 FSC-klagomål mail.docx", "A 58350-2025")</f>
        <v/>
      </c>
      <c r="AC17">
        <f>HYPERLINK("https://klasma.github.io/Logging_1263/tillsyn/A 58350-2025 tillsynsbegäran.docx", "A 58350-2025")</f>
        <v/>
      </c>
      <c r="AD17">
        <f>HYPERLINK("https://klasma.github.io/Logging_1263/tillsynsmail/A 58350-2025 tillsynsbegäran mail.docx", "A 58350-2025")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46301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46301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46301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46301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46301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46301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46301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38846-2026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46286</v>
      </c>
      <c r="E25" s="1" t="n">
        <v>46301</v>
      </c>
      <c r="F25" t="inlineStr">
        <is>
          <t>SKÅNE LÄN</t>
        </is>
      </c>
      <c r="G25" t="inlineStr">
        <is>
          <t>SVEDALA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Buskvicker</t>
        </is>
      </c>
      <c r="W25">
        <f>HYPERLINK("https://klasma.github.io/Logging_1263/artfynd/A 38846-2026 artfynd.xlsx", "A 38846-2026")</f>
        <v/>
      </c>
      <c r="X25">
        <f>HYPERLINK("https://klasma.github.io/Logging_1263/kartor/A 38846-2026 karta.png", "A 38846-2026")</f>
        <v/>
      </c>
      <c r="Y25">
        <f>HYPERLINK("https://klasma.github.io/Logging_1263/kartor_geotiff/A 38846-2026 georefererad karta.tif", "A 38846-2026")</f>
        <v/>
      </c>
      <c r="AA25">
        <f>HYPERLINK("https://klasma.github.io/Logging_1263/klagomål/A 38846-2026 FSC-klagomål.docx", "A 38846-2026")</f>
        <v/>
      </c>
      <c r="AB25">
        <f>HYPERLINK("https://klasma.github.io/Logging_1263/klagomålsmail/A 38846-2026 FSC-klagomål mail.docx", "A 38846-2026")</f>
        <v/>
      </c>
      <c r="AC25">
        <f>HYPERLINK("https://klasma.github.io/Logging_1263/tillsyn/A 38846-2026 tillsynsbegäran.docx", "A 38846-2026")</f>
        <v/>
      </c>
      <c r="AD25">
        <f>HYPERLINK("https://klasma.github.io/Logging_1263/tillsynsmail/A 38846-2026 tillsynsbegäran mail.docx", "A 38846-2026")</f>
        <v/>
      </c>
    </row>
    <row r="26" ht="15" customHeight="1">
      <c r="A26" t="inlineStr">
        <is>
          <t>A 25054-2026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46301</v>
      </c>
      <c r="F26" t="inlineStr">
        <is>
          <t>SKÅNE LÄN</t>
        </is>
      </c>
      <c r="G26" t="inlineStr">
        <is>
          <t>SVEDALA</t>
        </is>
      </c>
      <c r="I26" t="n">
        <v>3.8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Fransig jordstjärna</t>
        </is>
      </c>
      <c r="W26">
        <f>HYPERLINK("https://klasma.github.io/Logging_1263/artfynd/A 25054-2026 artfynd.xlsx", "A 25054-2026")</f>
        <v/>
      </c>
      <c r="X26">
        <f>HYPERLINK("https://klasma.github.io/Logging_1263/kartor/A 25054-2026 karta.png", "A 25054-2026")</f>
        <v/>
      </c>
      <c r="Y26">
        <f>HYPERLINK("https://klasma.github.io/Logging_1263/kartor_geotiff/A 25054-2026 georefererad karta.tif", "A 25054-2026")</f>
        <v/>
      </c>
      <c r="AA26">
        <f>HYPERLINK("https://klasma.github.io/Logging_1263/klagomål/A 25054-2026 FSC-klagomål.docx", "A 25054-2026")</f>
        <v/>
      </c>
      <c r="AB26">
        <f>HYPERLINK("https://klasma.github.io/Logging_1263/klagomålsmail/A 25054-2026 FSC-klagomål mail.docx", "A 25054-2026")</f>
        <v/>
      </c>
      <c r="AC26">
        <f>HYPERLINK("https://klasma.github.io/Logging_1263/tillsyn/A 25054-2026 tillsynsbegäran.docx", "A 25054-2026")</f>
        <v/>
      </c>
      <c r="AD26">
        <f>HYPERLINK("https://klasma.github.io/Logging_1263/tillsynsmail/A 25054-2026 tillsynsbegäran mail.docx", "A 25054-2026")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46301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46301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25603-2024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46301</v>
      </c>
      <c r="F29" t="inlineStr">
        <is>
          <t>SKÅNE LÄN</t>
        </is>
      </c>
      <c r="G29" t="inlineStr">
        <is>
          <t>SVEDALA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46301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31693-2023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46301</v>
      </c>
      <c r="F31" t="inlineStr">
        <is>
          <t>SKÅNE LÄN</t>
        </is>
      </c>
      <c r="G31" t="inlineStr">
        <is>
          <t>SVEDALA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13344-2023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45005</v>
      </c>
      <c r="E32" s="1" t="n">
        <v>46301</v>
      </c>
      <c r="F32" t="inlineStr">
        <is>
          <t>SKÅNE LÄN</t>
        </is>
      </c>
      <c r="G32" t="inlineStr">
        <is>
          <t>SVEDALA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67456-2021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46301</v>
      </c>
      <c r="F33" t="inlineStr">
        <is>
          <t>SKÅNE LÄN</t>
        </is>
      </c>
      <c r="G33" t="inlineStr">
        <is>
          <t>SVEDALA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46301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59432-2022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44907</v>
      </c>
      <c r="E35" s="1" t="n">
        <v>46301</v>
      </c>
      <c r="F35" t="inlineStr">
        <is>
          <t>SKÅNE LÄN</t>
        </is>
      </c>
      <c r="G35" t="inlineStr">
        <is>
          <t>SVEDALA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46301</v>
      </c>
      <c r="F36" t="inlineStr">
        <is>
          <t>SKÅNE LÄN</t>
        </is>
      </c>
      <c r="G36" t="inlineStr">
        <is>
          <t>SVEDALA</t>
        </is>
      </c>
      <c r="I36" t="n">
        <v>8.9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46301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15577-2024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45401</v>
      </c>
      <c r="E38" s="1" t="n">
        <v>46301</v>
      </c>
      <c r="F38" t="inlineStr">
        <is>
          <t>SKÅNE LÄN</t>
        </is>
      </c>
      <c r="G38" t="inlineStr">
        <is>
          <t>SVEDALA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64049-2025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46301</v>
      </c>
      <c r="F39" t="inlineStr">
        <is>
          <t>SKÅNE LÄN</t>
        </is>
      </c>
      <c r="G39" t="inlineStr">
        <is>
          <t>SVEDALA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46301</v>
      </c>
      <c r="F40" t="inlineStr">
        <is>
          <t>SKÅNE LÄN</t>
        </is>
      </c>
      <c r="G40" t="inlineStr">
        <is>
          <t>SVEDALA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46301</v>
      </c>
      <c r="F41" t="inlineStr">
        <is>
          <t>SKÅNE LÄN</t>
        </is>
      </c>
      <c r="G41" t="inlineStr">
        <is>
          <t>SVEDALA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46301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19190-2023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45048</v>
      </c>
      <c r="E43" s="1" t="n">
        <v>46301</v>
      </c>
      <c r="F43" t="inlineStr">
        <is>
          <t>SKÅNE LÄN</t>
        </is>
      </c>
      <c r="G43" t="inlineStr">
        <is>
          <t>SVEDALA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45406</v>
      </c>
      <c r="E44" s="1" t="n">
        <v>46301</v>
      </c>
      <c r="F44" t="inlineStr">
        <is>
          <t>SKÅNE LÄN</t>
        </is>
      </c>
      <c r="G44" t="inlineStr">
        <is>
          <t>SVEDALA</t>
        </is>
      </c>
      <c r="I44" t="n">
        <v>13.5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54580-2023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45233</v>
      </c>
      <c r="E45" s="1" t="n">
        <v>46301</v>
      </c>
      <c r="F45" t="inlineStr">
        <is>
          <t>SKÅNE LÄN</t>
        </is>
      </c>
      <c r="G45" t="inlineStr">
        <is>
          <t>SVEDALA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46301</v>
      </c>
      <c r="F46" t="inlineStr">
        <is>
          <t>SKÅNE LÄN</t>
        </is>
      </c>
      <c r="G46" t="inlineStr">
        <is>
          <t>SVEDALA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19268-2024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46301</v>
      </c>
      <c r="F47" t="inlineStr">
        <is>
          <t>SKÅNE LÄN</t>
        </is>
      </c>
      <c r="G47" t="inlineStr">
        <is>
          <t>SVEDALA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46301</v>
      </c>
      <c r="F48" t="inlineStr">
        <is>
          <t>SKÅNE LÄN</t>
        </is>
      </c>
      <c r="G48" t="inlineStr">
        <is>
          <t>SVEDALA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45950</v>
      </c>
      <c r="E49" s="1" t="n">
        <v>46301</v>
      </c>
      <c r="F49" t="inlineStr">
        <is>
          <t>SKÅNE LÄN</t>
        </is>
      </c>
      <c r="G49" t="inlineStr">
        <is>
          <t>SVEDALA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56202-2023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46301</v>
      </c>
      <c r="F50" t="inlineStr">
        <is>
          <t>SKÅNE LÄN</t>
        </is>
      </c>
      <c r="G50" t="inlineStr">
        <is>
          <t>SVEDALA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54280-2023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46301</v>
      </c>
      <c r="F51" t="inlineStr">
        <is>
          <t>SKÅNE LÄN</t>
        </is>
      </c>
      <c r="G51" t="inlineStr">
        <is>
          <t>SVEDALA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27844-2026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46191</v>
      </c>
      <c r="E52" s="1" t="n">
        <v>46301</v>
      </c>
      <c r="F52" t="inlineStr">
        <is>
          <t>SKÅNE LÄN</t>
        </is>
      </c>
      <c r="G52" t="inlineStr">
        <is>
          <t>SVEDALA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15277-2024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45400</v>
      </c>
      <c r="E53" s="1" t="n">
        <v>46301</v>
      </c>
      <c r="F53" t="inlineStr">
        <is>
          <t>SKÅNE LÄN</t>
        </is>
      </c>
      <c r="G53" t="inlineStr">
        <is>
          <t>SVEDALA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27113-2022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46301</v>
      </c>
      <c r="F54" t="inlineStr">
        <is>
          <t>SKÅNE LÄN</t>
        </is>
      </c>
      <c r="G54" t="inlineStr">
        <is>
          <t>SVEDALA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29030-2023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46301</v>
      </c>
      <c r="F55" t="inlineStr">
        <is>
          <t>SKÅNE LÄN</t>
        </is>
      </c>
      <c r="G55" t="inlineStr">
        <is>
          <t>SVEDALA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46301</v>
      </c>
      <c r="F56" t="inlineStr">
        <is>
          <t>SKÅNE LÄN</t>
        </is>
      </c>
      <c r="G56" t="inlineStr">
        <is>
          <t>SVEDALA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46286</v>
      </c>
      <c r="E57" s="1" t="n">
        <v>46301</v>
      </c>
      <c r="F57" t="inlineStr">
        <is>
          <t>SKÅNE LÄN</t>
        </is>
      </c>
      <c r="G57" t="inlineStr">
        <is>
          <t>SVEDALA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38845-2026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46301</v>
      </c>
      <c r="F58" t="inlineStr">
        <is>
          <t>SKÅNE LÄN</t>
        </is>
      </c>
      <c r="G58" t="inlineStr">
        <is>
          <t>SVEDALA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46301</v>
      </c>
      <c r="F59" t="inlineStr">
        <is>
          <t>SKÅNE LÄN</t>
        </is>
      </c>
      <c r="G59" t="inlineStr">
        <is>
          <t>SVEDALA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46301</v>
      </c>
      <c r="F60" t="inlineStr">
        <is>
          <t>SKÅNE LÄN</t>
        </is>
      </c>
      <c r="G60" t="inlineStr">
        <is>
          <t>SVEDALA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38842-2026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46286</v>
      </c>
      <c r="E61" s="1" t="n">
        <v>46301</v>
      </c>
      <c r="F61" t="inlineStr">
        <is>
          <t>SKÅNE LÄN</t>
        </is>
      </c>
      <c r="G61" t="inlineStr">
        <is>
          <t>SVEDALA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46301</v>
      </c>
      <c r="F62" t="inlineStr">
        <is>
          <t>SKÅNE LÄN</t>
        </is>
      </c>
      <c r="G62" t="inlineStr">
        <is>
          <t>SVEDALA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26073-2026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46301</v>
      </c>
      <c r="F63" t="inlineStr">
        <is>
          <t>SKÅNE LÄN</t>
        </is>
      </c>
      <c r="G63" t="inlineStr">
        <is>
          <t>SVEDALA</t>
        </is>
      </c>
      <c r="I63" t="n">
        <v>7.3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45427</v>
      </c>
      <c r="E64" s="1" t="n">
        <v>46301</v>
      </c>
      <c r="F64" t="inlineStr">
        <is>
          <t>SKÅNE LÄN</t>
        </is>
      </c>
      <c r="G64" t="inlineStr">
        <is>
          <t>SVEDALA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26080-2026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46301</v>
      </c>
      <c r="F65" t="inlineStr">
        <is>
          <t>SKÅNE LÄN</t>
        </is>
      </c>
      <c r="G65" t="inlineStr">
        <is>
          <t>SVEDALA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46301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46301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2026-10-06T01:52:18Z</dcterms:created>
  <dcterms:modified xmlns:dcterms="http://purl.org/dc/terms/" xmlns:xsi="http://www.w3.org/2001/XMLSchema-instance" xsi:type="dcterms:W3CDTF">2026-10-06T01:52:18Z</dcterms:modified>
</cp:coreProperties>
</file>