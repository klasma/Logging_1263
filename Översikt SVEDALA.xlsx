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46275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46275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46275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46275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46275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46275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46275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46275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46275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46275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46275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46275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2482-2025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45674</v>
      </c>
      <c r="E14" s="1" t="n">
        <v>46275</v>
      </c>
      <c r="F14" t="inlineStr">
        <is>
          <t>SKÅNE LÄN</t>
        </is>
      </c>
      <c r="G14" t="inlineStr">
        <is>
          <t>SVEDALA</t>
        </is>
      </c>
      <c r="I14" t="n">
        <v>0.5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Korallticka
Ekoxe</t>
        </is>
      </c>
      <c r="W14">
        <f>HYPERLINK("https://klasma.github.io/Logging_1263/artfynd/A 2482-2025 artfynd.xlsx", "A 2482-2025")</f>
        <v/>
      </c>
      <c r="X14">
        <f>HYPERLINK("https://klasma.github.io/Logging_1263/kartor/A 2482-2025 karta.png", "A 2482-2025")</f>
        <v/>
      </c>
      <c r="Y14">
        <f>HYPERLINK("https://klasma.github.io/Logging_1263/kartor_geotiff/A 2482-2025 georefererad karta.tif", "A 2482-2025")</f>
        <v/>
      </c>
      <c r="AA14">
        <f>HYPERLINK("https://klasma.github.io/Logging_1263/klagomål/A 2482-2025 FSC-klagomål.docx", "A 2482-2025")</f>
        <v/>
      </c>
      <c r="AB14">
        <f>HYPERLINK("https://klasma.github.io/Logging_1263/klagomålsmail/A 2482-2025 FSC-klagomål mail.docx", "A 2482-2025")</f>
        <v/>
      </c>
      <c r="AC14">
        <f>HYPERLINK("https://klasma.github.io/Logging_1263/tillsyn/A 2482-2025 tillsynsbegäran.docx", "A 2482-2025")</f>
        <v/>
      </c>
      <c r="AD14">
        <f>HYPERLINK("https://klasma.github.io/Logging_1263/tillsynsmail/A 2482-2025 tillsynsbegäran mail.docx", "A 2482-2025")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46275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46275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46275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46275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46275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46275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46275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46275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15571-2024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46275</v>
      </c>
      <c r="F23" t="inlineStr">
        <is>
          <t>SKÅNE LÄN</t>
        </is>
      </c>
      <c r="G23" t="inlineStr">
        <is>
          <t>SVEDALA</t>
        </is>
      </c>
      <c r="I23" t="n">
        <v>11.1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skogssnigel</t>
        </is>
      </c>
      <c r="W23">
        <f>HYPERLINK("https://klasma.github.io/Logging_1263/artfynd/A 15571-2024 artfynd.xlsx", "A 15571-2024")</f>
        <v/>
      </c>
      <c r="X23">
        <f>HYPERLINK("https://klasma.github.io/Logging_1263/kartor/A 15571-2024 karta.png", "A 15571-2024")</f>
        <v/>
      </c>
      <c r="Y23">
        <f>HYPERLINK("https://klasma.github.io/Logging_1263/kartor_geotiff/A 15571-2024 georefererad karta.tif", "A 15571-2024")</f>
        <v/>
      </c>
      <c r="AA23">
        <f>HYPERLINK("https://klasma.github.io/Logging_1263/klagomål/A 15571-2024 FSC-klagomål.docx", "A 15571-2024")</f>
        <v/>
      </c>
      <c r="AB23">
        <f>HYPERLINK("https://klasma.github.io/Logging_1263/klagomålsmail/A 15571-2024 FSC-klagomål mail.docx", "A 15571-2024")</f>
        <v/>
      </c>
      <c r="AC23">
        <f>HYPERLINK("https://klasma.github.io/Logging_1263/tillsyn/A 15571-2024 tillsynsbegäran.docx", "A 15571-2024")</f>
        <v/>
      </c>
      <c r="AD23">
        <f>HYPERLINK("https://klasma.github.io/Logging_1263/tillsynsmail/A 15571-2024 tillsynsbegäran mail.docx", "A 15571-2024")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46275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46275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46275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46275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46275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46275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46275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46275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56202-2023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45240</v>
      </c>
      <c r="E32" s="1" t="n">
        <v>46275</v>
      </c>
      <c r="F32" t="inlineStr">
        <is>
          <t>SKÅNE LÄN</t>
        </is>
      </c>
      <c r="G32" t="inlineStr">
        <is>
          <t>SVEDALA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19190-2023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45048</v>
      </c>
      <c r="E33" s="1" t="n">
        <v>46275</v>
      </c>
      <c r="F33" t="inlineStr">
        <is>
          <t>SKÅNE LÄN</t>
        </is>
      </c>
      <c r="G33" t="inlineStr">
        <is>
          <t>SVEDALA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67456-2021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46275</v>
      </c>
      <c r="F34" t="inlineStr">
        <is>
          <t>SKÅNE LÄN</t>
        </is>
      </c>
      <c r="G34" t="inlineStr">
        <is>
          <t>SVEDALA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16199-2024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45406</v>
      </c>
      <c r="E35" s="1" t="n">
        <v>46275</v>
      </c>
      <c r="F35" t="inlineStr">
        <is>
          <t>SKÅNE LÄN</t>
        </is>
      </c>
      <c r="G35" t="inlineStr">
        <is>
          <t>SVEDALA</t>
        </is>
      </c>
      <c r="I35" t="n">
        <v>13.5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54580-2023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45233</v>
      </c>
      <c r="E36" s="1" t="n">
        <v>46275</v>
      </c>
      <c r="F36" t="inlineStr">
        <is>
          <t>SKÅNE LÄN</t>
        </is>
      </c>
      <c r="G36" t="inlineStr">
        <is>
          <t>SVEDALA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16690-2023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45030</v>
      </c>
      <c r="E37" s="1" t="n">
        <v>46275</v>
      </c>
      <c r="F37" t="inlineStr">
        <is>
          <t>SKÅNE LÄN</t>
        </is>
      </c>
      <c r="G37" t="inlineStr">
        <is>
          <t>SVEDALA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59432-2022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44907</v>
      </c>
      <c r="E38" s="1" t="n">
        <v>46275</v>
      </c>
      <c r="F38" t="inlineStr">
        <is>
          <t>SKÅNE LÄN</t>
        </is>
      </c>
      <c r="G38" t="inlineStr">
        <is>
          <t>SVEDALA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46275</v>
      </c>
      <c r="F39" t="inlineStr">
        <is>
          <t>SKÅNE LÄN</t>
        </is>
      </c>
      <c r="G39" t="inlineStr">
        <is>
          <t>SVEDALA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46275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15577-2024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46275</v>
      </c>
      <c r="F41" t="inlineStr">
        <is>
          <t>SKÅNE LÄN</t>
        </is>
      </c>
      <c r="G41" t="inlineStr">
        <is>
          <t>SVEDALA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18888-2024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45427</v>
      </c>
      <c r="E42" s="1" t="n">
        <v>46275</v>
      </c>
      <c r="F42" t="inlineStr">
        <is>
          <t>SKÅNE LÄN</t>
        </is>
      </c>
      <c r="G42" t="inlineStr">
        <is>
          <t>SVEDALA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19268-2024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46275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46275</v>
      </c>
      <c r="F44" t="inlineStr">
        <is>
          <t>SKÅNE LÄN</t>
        </is>
      </c>
      <c r="G44" t="inlineStr">
        <is>
          <t>SVEDALA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54280-2023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45232</v>
      </c>
      <c r="E45" s="1" t="n">
        <v>46275</v>
      </c>
      <c r="F45" t="inlineStr">
        <is>
          <t>SKÅNE LÄN</t>
        </is>
      </c>
      <c r="G45" t="inlineStr">
        <is>
          <t>SVEDALA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15277-2024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45400</v>
      </c>
      <c r="E46" s="1" t="n">
        <v>46275</v>
      </c>
      <c r="F46" t="inlineStr">
        <is>
          <t>SKÅNE LÄN</t>
        </is>
      </c>
      <c r="G46" t="inlineStr">
        <is>
          <t>SVEDALA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27113-2022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44741</v>
      </c>
      <c r="E47" s="1" t="n">
        <v>46275</v>
      </c>
      <c r="F47" t="inlineStr">
        <is>
          <t>SKÅNE LÄN</t>
        </is>
      </c>
      <c r="G47" t="inlineStr">
        <is>
          <t>SVEDALA</t>
        </is>
      </c>
      <c r="I47" t="n">
        <v>8.9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29030-2023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45104</v>
      </c>
      <c r="E48" s="1" t="n">
        <v>46275</v>
      </c>
      <c r="F48" t="inlineStr">
        <is>
          <t>SKÅNE LÄN</t>
        </is>
      </c>
      <c r="G48" t="inlineStr">
        <is>
          <t>SVEDALA</t>
        </is>
      </c>
      <c r="I48" t="n">
        <v>8.1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46275</v>
      </c>
      <c r="F49" t="inlineStr">
        <is>
          <t>SKÅNE LÄN</t>
        </is>
      </c>
      <c r="G49" t="inlineStr">
        <is>
          <t>SVEDALA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46275</v>
      </c>
      <c r="F50" t="inlineStr">
        <is>
          <t>SKÅNE LÄN</t>
        </is>
      </c>
      <c r="G50" t="inlineStr">
        <is>
          <t>SVEDALA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64049-2025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46275</v>
      </c>
      <c r="F51" t="inlineStr">
        <is>
          <t>SKÅNE LÄN</t>
        </is>
      </c>
      <c r="G51" t="inlineStr">
        <is>
          <t>SVEDALA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64051-2025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46021</v>
      </c>
      <c r="E52" s="1" t="n">
        <v>46275</v>
      </c>
      <c r="F52" t="inlineStr">
        <is>
          <t>SKÅNE LÄN</t>
        </is>
      </c>
      <c r="G52" t="inlineStr">
        <is>
          <t>SVEDALA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64055-2025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46021</v>
      </c>
      <c r="E53" s="1" t="n">
        <v>46275</v>
      </c>
      <c r="F53" t="inlineStr">
        <is>
          <t>SKÅNE LÄN</t>
        </is>
      </c>
      <c r="G53" t="inlineStr">
        <is>
          <t>SVEDALA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64058-2025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46021</v>
      </c>
      <c r="E54" s="1" t="n">
        <v>46275</v>
      </c>
      <c r="F54" t="inlineStr">
        <is>
          <t>SKÅNE LÄN</t>
        </is>
      </c>
      <c r="G54" t="inlineStr">
        <is>
          <t>SVEDALA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51318-2025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45950</v>
      </c>
      <c r="E55" s="1" t="n">
        <v>46275</v>
      </c>
      <c r="F55" t="inlineStr">
        <is>
          <t>SKÅNE LÄN</t>
        </is>
      </c>
      <c r="G55" t="inlineStr">
        <is>
          <t>SVEDALA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27844-2026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46191</v>
      </c>
      <c r="E56" s="1" t="n">
        <v>46275</v>
      </c>
      <c r="F56" t="inlineStr">
        <is>
          <t>SKÅNE LÄN</t>
        </is>
      </c>
      <c r="G56" t="inlineStr">
        <is>
          <t>SVEDALA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26080-2026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46275</v>
      </c>
      <c r="F57" t="inlineStr">
        <is>
          <t>SKÅNE LÄN</t>
        </is>
      </c>
      <c r="G57" t="inlineStr">
        <is>
          <t>SVEDALA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46275</v>
      </c>
      <c r="F58" t="inlineStr">
        <is>
          <t>SKÅNE LÄN</t>
        </is>
      </c>
      <c r="G58" t="inlineStr">
        <is>
          <t>SVEDALA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25275-2026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46275</v>
      </c>
      <c r="F59" t="inlineStr">
        <is>
          <t>SKÅNE LÄN</t>
        </is>
      </c>
      <c r="G59" t="inlineStr">
        <is>
          <t>SVEDALA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46275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46275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2026-09-10T02:09:21Z</dcterms:created>
  <dcterms:modified xmlns:dcterms="http://purl.org/dc/terms/" xmlns:xsi="http://www.w3.org/2001/XMLSchema-instance" xsi:type="dcterms:W3CDTF">2026-09-10T02:09:22Z</dcterms:modified>
</cp:coreProperties>
</file>