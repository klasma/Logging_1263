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30721-2019</t>
        </is>
      </c>
      <c r="B2" s="1" t="n">
        <v>43636</v>
      </c>
      <c r="C2" s="1" t="n">
        <v>45571</v>
      </c>
      <c r="D2" t="inlineStr">
        <is>
          <t>SKÅNE LÄN</t>
        </is>
      </c>
      <c r="E2" t="inlineStr">
        <is>
          <t>SVEDALA</t>
        </is>
      </c>
      <c r="G2" t="n">
        <v>2</v>
      </c>
      <c r="H2" t="n">
        <v>2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Stare
Entita
Vätteros</t>
        </is>
      </c>
      <c r="S2">
        <f>HYPERLINK("https://klasma.github.io/Logging_1263/artfynd/A 30721-2019 artfynd.xlsx", "A 30721-2019")</f>
        <v/>
      </c>
      <c r="T2">
        <f>HYPERLINK("https://klasma.github.io/Logging_1263/kartor/A 30721-2019 karta.png", "A 30721-2019")</f>
        <v/>
      </c>
      <c r="V2">
        <f>HYPERLINK("https://klasma.github.io/Logging_1263/klagomål/A 30721-2019 FSC-klagomål.docx", "A 30721-2019")</f>
        <v/>
      </c>
      <c r="W2">
        <f>HYPERLINK("https://klasma.github.io/Logging_1263/klagomålsmail/A 30721-2019 FSC-klagomål mail.docx", "A 30721-2019")</f>
        <v/>
      </c>
      <c r="X2">
        <f>HYPERLINK("https://klasma.github.io/Logging_1263/tillsyn/A 30721-2019 tillsynsbegäran.docx", "A 30721-2019")</f>
        <v/>
      </c>
      <c r="Y2">
        <f>HYPERLINK("https://klasma.github.io/Logging_1263/tillsynsmail/A 30721-2019 tillsynsbegäran mail.docx", "A 30721-2019")</f>
        <v/>
      </c>
      <c r="Z2">
        <f>HYPERLINK("https://klasma.github.io/Logging_1263/fåglar/A 30721-2019 prioriterade fågelarter.docx", "A 30721-2019")</f>
        <v/>
      </c>
    </row>
    <row r="3" ht="15" customHeight="1">
      <c r="A3" t="inlineStr">
        <is>
          <t>A 27244-2024</t>
        </is>
      </c>
      <c r="B3" s="1" t="n">
        <v>45471</v>
      </c>
      <c r="C3" s="1" t="n">
        <v>45571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30713-2019</t>
        </is>
      </c>
      <c r="B4" s="1" t="n">
        <v>43636</v>
      </c>
      <c r="C4" s="1" t="n">
        <v>45571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Kragjordstjärna
Stor häxört</t>
        </is>
      </c>
      <c r="S4">
        <f>HYPERLINK("https://klasma.github.io/Logging_1263/artfynd/A 30713-2019 artfynd.xlsx", "A 30713-2019")</f>
        <v/>
      </c>
      <c r="T4">
        <f>HYPERLINK("https://klasma.github.io/Logging_1263/kartor/A 30713-2019 karta.png", "A 30713-2019")</f>
        <v/>
      </c>
      <c r="V4">
        <f>HYPERLINK("https://klasma.github.io/Logging_1263/klagomål/A 30713-2019 FSC-klagomål.docx", "A 30713-2019")</f>
        <v/>
      </c>
      <c r="W4">
        <f>HYPERLINK("https://klasma.github.io/Logging_1263/klagomålsmail/A 30713-2019 FSC-klagomål mail.docx", "A 30713-2019")</f>
        <v/>
      </c>
      <c r="X4">
        <f>HYPERLINK("https://klasma.github.io/Logging_1263/tillsyn/A 30713-2019 tillsynsbegäran.docx", "A 30713-2019")</f>
        <v/>
      </c>
      <c r="Y4">
        <f>HYPERLINK("https://klasma.github.io/Logging_1263/tillsynsmail/A 30713-2019 tillsynsbegäran mail.docx", "A 30713-2019")</f>
        <v/>
      </c>
    </row>
    <row r="5" ht="15" customHeight="1">
      <c r="A5" t="inlineStr">
        <is>
          <t>A 18228-2020</t>
        </is>
      </c>
      <c r="B5" s="1" t="n">
        <v>43928</v>
      </c>
      <c r="C5" s="1" t="n">
        <v>45571</v>
      </c>
      <c r="D5" t="inlineStr">
        <is>
          <t>SKÅNE LÄN</t>
        </is>
      </c>
      <c r="E5" t="inlineStr">
        <is>
          <t>SVEDALA</t>
        </is>
      </c>
      <c r="G5" t="n">
        <v>1.1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Ädellav
Bokkantlav</t>
        </is>
      </c>
      <c r="S5">
        <f>HYPERLINK("https://klasma.github.io/Logging_1263/artfynd/A 18228-2020 artfynd.xlsx", "A 18228-2020")</f>
        <v/>
      </c>
      <c r="T5">
        <f>HYPERLINK("https://klasma.github.io/Logging_1263/kartor/A 18228-2020 karta.png", "A 18228-2020")</f>
        <v/>
      </c>
      <c r="V5">
        <f>HYPERLINK("https://klasma.github.io/Logging_1263/klagomål/A 18228-2020 FSC-klagomål.docx", "A 18228-2020")</f>
        <v/>
      </c>
      <c r="W5">
        <f>HYPERLINK("https://klasma.github.io/Logging_1263/klagomålsmail/A 18228-2020 FSC-klagomål mail.docx", "A 18228-2020")</f>
        <v/>
      </c>
      <c r="X5">
        <f>HYPERLINK("https://klasma.github.io/Logging_1263/tillsyn/A 18228-2020 tillsynsbegäran.docx", "A 18228-2020")</f>
        <v/>
      </c>
      <c r="Y5">
        <f>HYPERLINK("https://klasma.github.io/Logging_1263/tillsynsmail/A 18228-2020 tillsynsbegäran mail.docx", "A 18228-2020")</f>
        <v/>
      </c>
    </row>
    <row r="6" ht="15" customHeight="1">
      <c r="A6" t="inlineStr">
        <is>
          <t>A 5244-2021</t>
        </is>
      </c>
      <c r="B6" s="1" t="n">
        <v>44229</v>
      </c>
      <c r="C6" s="1" t="n">
        <v>45571</v>
      </c>
      <c r="D6" t="inlineStr">
        <is>
          <t>SKÅNE LÄN</t>
        </is>
      </c>
      <c r="E6" t="inlineStr">
        <is>
          <t>SVEDALA</t>
        </is>
      </c>
      <c r="G6" t="n">
        <v>5.3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Safsa</t>
        </is>
      </c>
      <c r="S6">
        <f>HYPERLINK("https://klasma.github.io/Logging_1263/artfynd/A 5244-2021 artfynd.xlsx", "A 5244-2021")</f>
        <v/>
      </c>
      <c r="T6">
        <f>HYPERLINK("https://klasma.github.io/Logging_1263/kartor/A 5244-2021 karta.png", "A 5244-2021")</f>
        <v/>
      </c>
      <c r="V6">
        <f>HYPERLINK("https://klasma.github.io/Logging_1263/klagomål/A 5244-2021 FSC-klagomål.docx", "A 5244-2021")</f>
        <v/>
      </c>
      <c r="W6">
        <f>HYPERLINK("https://klasma.github.io/Logging_1263/klagomålsmail/A 5244-2021 FSC-klagomål mail.docx", "A 5244-2021")</f>
        <v/>
      </c>
      <c r="X6">
        <f>HYPERLINK("https://klasma.github.io/Logging_1263/tillsyn/A 5244-2021 tillsynsbegäran.docx", "A 5244-2021")</f>
        <v/>
      </c>
      <c r="Y6">
        <f>HYPERLINK("https://klasma.github.io/Logging_1263/tillsynsmail/A 5244-2021 tillsynsbegäran mail.docx", "A 5244-2021")</f>
        <v/>
      </c>
    </row>
    <row r="7" ht="15" customHeight="1">
      <c r="A7" t="inlineStr">
        <is>
          <t>A 29029-2023</t>
        </is>
      </c>
      <c r="B7" s="1" t="n">
        <v>45104</v>
      </c>
      <c r="C7" s="1" t="n">
        <v>45571</v>
      </c>
      <c r="D7" t="inlineStr">
        <is>
          <t>SKÅNE LÄN</t>
        </is>
      </c>
      <c r="E7" t="inlineStr">
        <is>
          <t>SVEDALA</t>
        </is>
      </c>
      <c r="G7" t="n">
        <v>22.3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Citronfläckad kärrtrollslända
Ätlig groda</t>
        </is>
      </c>
      <c r="S7">
        <f>HYPERLINK("https://klasma.github.io/Logging_1263/artfynd/A 29029-2023 artfynd.xlsx", "A 29029-2023")</f>
        <v/>
      </c>
      <c r="T7">
        <f>HYPERLINK("https://klasma.github.io/Logging_1263/kartor/A 29029-2023 karta.png", "A 29029-2023")</f>
        <v/>
      </c>
      <c r="V7">
        <f>HYPERLINK("https://klasma.github.io/Logging_1263/klagomål/A 29029-2023 FSC-klagomål.docx", "A 29029-2023")</f>
        <v/>
      </c>
      <c r="W7">
        <f>HYPERLINK("https://klasma.github.io/Logging_1263/klagomålsmail/A 29029-2023 FSC-klagomål mail.docx", "A 29029-2023")</f>
        <v/>
      </c>
      <c r="X7">
        <f>HYPERLINK("https://klasma.github.io/Logging_1263/tillsyn/A 29029-2023 tillsynsbegäran.docx", "A 29029-2023")</f>
        <v/>
      </c>
      <c r="Y7">
        <f>HYPERLINK("https://klasma.github.io/Logging_1263/tillsynsmail/A 29029-2023 tillsynsbegäran mail.docx", "A 29029-2023")</f>
        <v/>
      </c>
    </row>
    <row r="8" ht="15" customHeight="1">
      <c r="A8" t="inlineStr">
        <is>
          <t>A 29032-2023</t>
        </is>
      </c>
      <c r="B8" s="1" t="n">
        <v>45104</v>
      </c>
      <c r="C8" s="1" t="n">
        <v>45571</v>
      </c>
      <c r="D8" t="inlineStr">
        <is>
          <t>SKÅNE LÄN</t>
        </is>
      </c>
      <c r="E8" t="inlineStr">
        <is>
          <t>SVEDALA</t>
        </is>
      </c>
      <c r="G8" t="n">
        <v>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Åkergroda
Vanlig groda</t>
        </is>
      </c>
      <c r="S8">
        <f>HYPERLINK("https://klasma.github.io/Logging_1263/artfynd/A 29032-2023 artfynd.xlsx", "A 29032-2023")</f>
        <v/>
      </c>
      <c r="T8">
        <f>HYPERLINK("https://klasma.github.io/Logging_1263/kartor/A 29032-2023 karta.png", "A 29032-2023")</f>
        <v/>
      </c>
      <c r="V8">
        <f>HYPERLINK("https://klasma.github.io/Logging_1263/klagomål/A 29032-2023 FSC-klagomål.docx", "A 29032-2023")</f>
        <v/>
      </c>
      <c r="W8">
        <f>HYPERLINK("https://klasma.github.io/Logging_1263/klagomålsmail/A 29032-2023 FSC-klagomål mail.docx", "A 29032-2023")</f>
        <v/>
      </c>
      <c r="X8">
        <f>HYPERLINK("https://klasma.github.io/Logging_1263/tillsyn/A 29032-2023 tillsynsbegäran.docx", "A 29032-2023")</f>
        <v/>
      </c>
      <c r="Y8">
        <f>HYPERLINK("https://klasma.github.io/Logging_1263/tillsynsmail/A 29032-2023 tillsynsbegäran mail.docx", "A 29032-2023")</f>
        <v/>
      </c>
    </row>
    <row r="9" ht="15" customHeight="1">
      <c r="A9" t="inlineStr">
        <is>
          <t>A 31697-2023</t>
        </is>
      </c>
      <c r="B9" s="1" t="n">
        <v>45117</v>
      </c>
      <c r="C9" s="1" t="n">
        <v>45571</v>
      </c>
      <c r="D9" t="inlineStr">
        <is>
          <t>SKÅNE LÄN</t>
        </is>
      </c>
      <c r="E9" t="inlineStr">
        <is>
          <t>SVEDALA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HYPERLINK("https://klasma.github.io/Logging_1263/artfynd/A 31697-2023 artfynd.xlsx", "A 31697-2023")</f>
        <v/>
      </c>
      <c r="T9">
        <f>HYPERLINK("https://klasma.github.io/Logging_1263/kartor/A 31697-2023 karta.png", "A 31697-2023")</f>
        <v/>
      </c>
      <c r="V9">
        <f>HYPERLINK("https://klasma.github.io/Logging_1263/klagomål/A 31697-2023 FSC-klagomål.docx", "A 31697-2023")</f>
        <v/>
      </c>
      <c r="W9">
        <f>HYPERLINK("https://klasma.github.io/Logging_1263/klagomålsmail/A 31697-2023 FSC-klagomål mail.docx", "A 31697-2023")</f>
        <v/>
      </c>
      <c r="X9">
        <f>HYPERLINK("https://klasma.github.io/Logging_1263/tillsyn/A 31697-2023 tillsynsbegäran.docx", "A 31697-2023")</f>
        <v/>
      </c>
      <c r="Y9">
        <f>HYPERLINK("https://klasma.github.io/Logging_1263/tillsynsmail/A 31697-2023 tillsynsbegäran mail.docx", "A 31697-2023")</f>
        <v/>
      </c>
    </row>
    <row r="10" ht="15" customHeight="1">
      <c r="A10" t="inlineStr">
        <is>
          <t>A 15571-2024</t>
        </is>
      </c>
      <c r="B10" s="1" t="n">
        <v>45401</v>
      </c>
      <c r="C10" s="1" t="n">
        <v>45571</v>
      </c>
      <c r="D10" t="inlineStr">
        <is>
          <t>SKÅNE LÄN</t>
        </is>
      </c>
      <c r="E10" t="inlineStr">
        <is>
          <t>SVEDALA</t>
        </is>
      </c>
      <c r="G10" t="n">
        <v>11.1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Oxtungssvamp
Guldlockmossa</t>
        </is>
      </c>
      <c r="S10">
        <f>HYPERLINK("https://klasma.github.io/Logging_1263/artfynd/A 15571-2024 artfynd.xlsx", "A 15571-2024")</f>
        <v/>
      </c>
      <c r="T10">
        <f>HYPERLINK("https://klasma.github.io/Logging_1263/kartor/A 15571-2024 karta.png", "A 15571-2024")</f>
        <v/>
      </c>
      <c r="V10">
        <f>HYPERLINK("https://klasma.github.io/Logging_1263/klagomål/A 15571-2024 FSC-klagomål.docx", "A 15571-2024")</f>
        <v/>
      </c>
      <c r="W10">
        <f>HYPERLINK("https://klasma.github.io/Logging_1263/klagomålsmail/A 15571-2024 FSC-klagomål mail.docx", "A 15571-2024")</f>
        <v/>
      </c>
      <c r="X10">
        <f>HYPERLINK("https://klasma.github.io/Logging_1263/tillsyn/A 15571-2024 tillsynsbegäran.docx", "A 15571-2024")</f>
        <v/>
      </c>
      <c r="Y10">
        <f>HYPERLINK("https://klasma.github.io/Logging_1263/tillsynsmail/A 15571-2024 tillsynsbegäran mail.docx", "A 15571-2024")</f>
        <v/>
      </c>
    </row>
    <row r="11" ht="15" customHeight="1">
      <c r="A11" t="inlineStr">
        <is>
          <t>A 16122-2024</t>
        </is>
      </c>
      <c r="B11" s="1" t="n">
        <v>45406</v>
      </c>
      <c r="C11" s="1" t="n">
        <v>45571</v>
      </c>
      <c r="D11" t="inlineStr">
        <is>
          <t>SKÅNE LÄN</t>
        </is>
      </c>
      <c r="E11" t="inlineStr">
        <is>
          <t>SVEDALA</t>
        </is>
      </c>
      <c r="G11" t="n">
        <v>15.2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Myskmadra</t>
        </is>
      </c>
      <c r="S11">
        <f>HYPERLINK("https://klasma.github.io/Logging_1263/artfynd/A 16122-2024 artfynd.xlsx", "A 16122-2024")</f>
        <v/>
      </c>
      <c r="T11">
        <f>HYPERLINK("https://klasma.github.io/Logging_1263/kartor/A 16122-2024 karta.png", "A 16122-2024")</f>
        <v/>
      </c>
      <c r="V11">
        <f>HYPERLINK("https://klasma.github.io/Logging_1263/klagomål/A 16122-2024 FSC-klagomål.docx", "A 16122-2024")</f>
        <v/>
      </c>
      <c r="W11">
        <f>HYPERLINK("https://klasma.github.io/Logging_1263/klagomålsmail/A 16122-2024 FSC-klagomål mail.docx", "A 16122-2024")</f>
        <v/>
      </c>
      <c r="X11">
        <f>HYPERLINK("https://klasma.github.io/Logging_1263/tillsyn/A 16122-2024 tillsynsbegäran.docx", "A 16122-2024")</f>
        <v/>
      </c>
      <c r="Y11">
        <f>HYPERLINK("https://klasma.github.io/Logging_1263/tillsynsmail/A 16122-2024 tillsynsbegäran mail.docx", "A 16122-2024")</f>
        <v/>
      </c>
    </row>
    <row r="12" ht="15" customHeight="1">
      <c r="A12" t="inlineStr">
        <is>
          <t>A 30710-2019</t>
        </is>
      </c>
      <c r="B12" s="1" t="n">
        <v>43636</v>
      </c>
      <c r="C12" s="1" t="n">
        <v>45571</v>
      </c>
      <c r="D12" t="inlineStr">
        <is>
          <t>SKÅNE LÄN</t>
        </is>
      </c>
      <c r="E12" t="inlineStr">
        <is>
          <t>SVEDALA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Bokoxe</t>
        </is>
      </c>
      <c r="S12">
        <f>HYPERLINK("https://klasma.github.io/Logging_1263/artfynd/A 30710-2019 artfynd.xlsx", "A 30710-2019")</f>
        <v/>
      </c>
      <c r="T12">
        <f>HYPERLINK("https://klasma.github.io/Logging_1263/kartor/A 30710-2019 karta.png", "A 30710-2019")</f>
        <v/>
      </c>
      <c r="V12">
        <f>HYPERLINK("https://klasma.github.io/Logging_1263/klagomål/A 30710-2019 FSC-klagomål.docx", "A 30710-2019")</f>
        <v/>
      </c>
      <c r="W12">
        <f>HYPERLINK("https://klasma.github.io/Logging_1263/klagomålsmail/A 30710-2019 FSC-klagomål mail.docx", "A 30710-2019")</f>
        <v/>
      </c>
      <c r="X12">
        <f>HYPERLINK("https://klasma.github.io/Logging_1263/tillsyn/A 30710-2019 tillsynsbegäran.docx", "A 30710-2019")</f>
        <v/>
      </c>
      <c r="Y12">
        <f>HYPERLINK("https://klasma.github.io/Logging_1263/tillsynsmail/A 30710-2019 tillsynsbegäran mail.docx", "A 30710-2019")</f>
        <v/>
      </c>
    </row>
    <row r="13" ht="15" customHeight="1">
      <c r="A13" t="inlineStr">
        <is>
          <t>A 46202-2019</t>
        </is>
      </c>
      <c r="B13" s="1" t="n">
        <v>43713</v>
      </c>
      <c r="C13" s="1" t="n">
        <v>45571</v>
      </c>
      <c r="D13" t="inlineStr">
        <is>
          <t>SKÅNE LÄN</t>
        </is>
      </c>
      <c r="E13" t="inlineStr">
        <is>
          <t>SVEDALA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HYPERLINK("https://klasma.github.io/Logging_1263/artfynd/A 46202-2019 artfynd.xlsx", "A 46202-2019")</f>
        <v/>
      </c>
      <c r="T13">
        <f>HYPERLINK("https://klasma.github.io/Logging_1263/kartor/A 46202-2019 karta.png", "A 46202-2019")</f>
        <v/>
      </c>
      <c r="V13">
        <f>HYPERLINK("https://klasma.github.io/Logging_1263/klagomål/A 46202-2019 FSC-klagomål.docx", "A 46202-2019")</f>
        <v/>
      </c>
      <c r="W13">
        <f>HYPERLINK("https://klasma.github.io/Logging_1263/klagomålsmail/A 46202-2019 FSC-klagomål mail.docx", "A 46202-2019")</f>
        <v/>
      </c>
      <c r="X13">
        <f>HYPERLINK("https://klasma.github.io/Logging_1263/tillsyn/A 46202-2019 tillsynsbegäran.docx", "A 46202-2019")</f>
        <v/>
      </c>
      <c r="Y13">
        <f>HYPERLINK("https://klasma.github.io/Logging_1263/tillsynsmail/A 46202-2019 tillsynsbegäran mail.docx", "A 46202-2019")</f>
        <v/>
      </c>
    </row>
    <row r="14" ht="15" customHeight="1">
      <c r="A14" t="inlineStr">
        <is>
          <t>A 30733-2020</t>
        </is>
      </c>
      <c r="B14" s="1" t="n">
        <v>44008</v>
      </c>
      <c r="C14" s="1" t="n">
        <v>45571</v>
      </c>
      <c r="D14" t="inlineStr">
        <is>
          <t>SKÅNE LÄN</t>
        </is>
      </c>
      <c r="E14" t="inlineStr">
        <is>
          <t>SVEDALA</t>
        </is>
      </c>
      <c r="G14" t="n">
        <v>1.4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Större grynsnäcka</t>
        </is>
      </c>
      <c r="S14">
        <f>HYPERLINK("https://klasma.github.io/Logging_1263/artfynd/A 30733-2020 artfynd.xlsx", "A 30733-2020")</f>
        <v/>
      </c>
      <c r="T14">
        <f>HYPERLINK("https://klasma.github.io/Logging_1263/kartor/A 30733-2020 karta.png", "A 30733-2020")</f>
        <v/>
      </c>
      <c r="V14">
        <f>HYPERLINK("https://klasma.github.io/Logging_1263/klagomål/A 30733-2020 FSC-klagomål.docx", "A 30733-2020")</f>
        <v/>
      </c>
      <c r="W14">
        <f>HYPERLINK("https://klasma.github.io/Logging_1263/klagomålsmail/A 30733-2020 FSC-klagomål mail.docx", "A 30733-2020")</f>
        <v/>
      </c>
      <c r="X14">
        <f>HYPERLINK("https://klasma.github.io/Logging_1263/tillsyn/A 30733-2020 tillsynsbegäran.docx", "A 30733-2020")</f>
        <v/>
      </c>
      <c r="Y14">
        <f>HYPERLINK("https://klasma.github.io/Logging_1263/tillsynsmail/A 30733-2020 tillsynsbegäran mail.docx", "A 30733-2020")</f>
        <v/>
      </c>
    </row>
    <row r="15" ht="15" customHeight="1">
      <c r="A15" t="inlineStr">
        <is>
          <t>A 18464-2022</t>
        </is>
      </c>
      <c r="B15" s="1" t="n">
        <v>44686</v>
      </c>
      <c r="C15" s="1" t="n">
        <v>45571</v>
      </c>
      <c r="D15" t="inlineStr">
        <is>
          <t>SKÅNE LÄN</t>
        </is>
      </c>
      <c r="E15" t="inlineStr">
        <is>
          <t>SVEDALA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HYPERLINK("https://klasma.github.io/Logging_1263/artfynd/A 18464-2022 artfynd.xlsx", "A 18464-2022")</f>
        <v/>
      </c>
      <c r="T15">
        <f>HYPERLINK("https://klasma.github.io/Logging_1263/kartor/A 18464-2022 karta.png", "A 18464-2022")</f>
        <v/>
      </c>
      <c r="V15">
        <f>HYPERLINK("https://klasma.github.io/Logging_1263/klagomål/A 18464-2022 FSC-klagomål.docx", "A 18464-2022")</f>
        <v/>
      </c>
      <c r="W15">
        <f>HYPERLINK("https://klasma.github.io/Logging_1263/klagomålsmail/A 18464-2022 FSC-klagomål mail.docx", "A 18464-2022")</f>
        <v/>
      </c>
      <c r="X15">
        <f>HYPERLINK("https://klasma.github.io/Logging_1263/tillsyn/A 18464-2022 tillsynsbegäran.docx", "A 18464-2022")</f>
        <v/>
      </c>
      <c r="Y15">
        <f>HYPERLINK("https://klasma.github.io/Logging_1263/tillsynsmail/A 18464-2022 tillsynsbegäran mail.docx", "A 18464-2022")</f>
        <v/>
      </c>
    </row>
    <row r="16" ht="15" customHeight="1">
      <c r="A16" t="inlineStr">
        <is>
          <t>A 16684-2023</t>
        </is>
      </c>
      <c r="B16" s="1" t="n">
        <v>45030</v>
      </c>
      <c r="C16" s="1" t="n">
        <v>45571</v>
      </c>
      <c r="D16" t="inlineStr">
        <is>
          <t>SKÅNE LÄN</t>
        </is>
      </c>
      <c r="E16" t="inlineStr">
        <is>
          <t>SVEDALA</t>
        </is>
      </c>
      <c r="G16" t="n">
        <v>6.1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16684-2023 artfynd.xlsx", "A 16684-2023")</f>
        <v/>
      </c>
      <c r="T16">
        <f>HYPERLINK("https://klasma.github.io/Logging_1263/kartor/A 16684-2023 karta.png", "A 16684-2023")</f>
        <v/>
      </c>
      <c r="V16">
        <f>HYPERLINK("https://klasma.github.io/Logging_1263/klagomål/A 16684-2023 FSC-klagomål.docx", "A 16684-2023")</f>
        <v/>
      </c>
      <c r="W16">
        <f>HYPERLINK("https://klasma.github.io/Logging_1263/klagomålsmail/A 16684-2023 FSC-klagomål mail.docx", "A 16684-2023")</f>
        <v/>
      </c>
      <c r="X16">
        <f>HYPERLINK("https://klasma.github.io/Logging_1263/tillsyn/A 16684-2023 tillsynsbegäran.docx", "A 16684-2023")</f>
        <v/>
      </c>
      <c r="Y16">
        <f>HYPERLINK("https://klasma.github.io/Logging_1263/tillsynsmail/A 16684-2023 tillsynsbegäran mail.docx", "A 16684-2023")</f>
        <v/>
      </c>
    </row>
    <row r="17" ht="15" customHeight="1">
      <c r="A17" t="inlineStr">
        <is>
          <t>A 31700-2023</t>
        </is>
      </c>
      <c r="B17" s="1" t="n">
        <v>45117</v>
      </c>
      <c r="C17" s="1" t="n">
        <v>45571</v>
      </c>
      <c r="D17" t="inlineStr">
        <is>
          <t>SKÅNE LÄN</t>
        </is>
      </c>
      <c r="E17" t="inlineStr">
        <is>
          <t>SVEDALA</t>
        </is>
      </c>
      <c r="G17" t="n">
        <v>1.1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Revig blodrot</t>
        </is>
      </c>
      <c r="S17">
        <f>HYPERLINK("https://klasma.github.io/Logging_1263/artfynd/A 31700-2023 artfynd.xlsx", "A 31700-2023")</f>
        <v/>
      </c>
      <c r="T17">
        <f>HYPERLINK("https://klasma.github.io/Logging_1263/kartor/A 31700-2023 karta.png", "A 31700-2023")</f>
        <v/>
      </c>
      <c r="V17">
        <f>HYPERLINK("https://klasma.github.io/Logging_1263/klagomål/A 31700-2023 FSC-klagomål.docx", "A 31700-2023")</f>
        <v/>
      </c>
      <c r="W17">
        <f>HYPERLINK("https://klasma.github.io/Logging_1263/klagomålsmail/A 31700-2023 FSC-klagomål mail.docx", "A 31700-2023")</f>
        <v/>
      </c>
      <c r="X17">
        <f>HYPERLINK("https://klasma.github.io/Logging_1263/tillsyn/A 31700-2023 tillsynsbegäran.docx", "A 31700-2023")</f>
        <v/>
      </c>
      <c r="Y17">
        <f>HYPERLINK("https://klasma.github.io/Logging_1263/tillsynsmail/A 31700-2023 tillsynsbegäran mail.docx", "A 31700-2023")</f>
        <v/>
      </c>
    </row>
    <row r="18" ht="15" customHeight="1">
      <c r="A18" t="inlineStr">
        <is>
          <t>A 31951-2019</t>
        </is>
      </c>
      <c r="B18" s="1" t="n">
        <v>43642</v>
      </c>
      <c r="C18" s="1" t="n">
        <v>45571</v>
      </c>
      <c r="D18" t="inlineStr">
        <is>
          <t>SKÅNE LÄN</t>
        </is>
      </c>
      <c r="E18" t="inlineStr">
        <is>
          <t>SVEDALA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31948-2019</t>
        </is>
      </c>
      <c r="B19" s="1" t="n">
        <v>43642</v>
      </c>
      <c r="C19" s="1" t="n">
        <v>45571</v>
      </c>
      <c r="D19" t="inlineStr">
        <is>
          <t>SKÅNE LÄN</t>
        </is>
      </c>
      <c r="E19" t="inlineStr">
        <is>
          <t>SVEDALA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33240-2019</t>
        </is>
      </c>
      <c r="B20" s="1" t="n">
        <v>43644</v>
      </c>
      <c r="C20" s="1" t="n">
        <v>45571</v>
      </c>
      <c r="D20" t="inlineStr">
        <is>
          <t>SKÅNE LÄN</t>
        </is>
      </c>
      <c r="E20" t="inlineStr">
        <is>
          <t>SVEDALA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46216-2019</t>
        </is>
      </c>
      <c r="B21" s="1" t="n">
        <v>43713</v>
      </c>
      <c r="C21" s="1" t="n">
        <v>45571</v>
      </c>
      <c r="D21" t="inlineStr">
        <is>
          <t>SKÅNE LÄN</t>
        </is>
      </c>
      <c r="E21" t="inlineStr">
        <is>
          <t>SVEDALA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56856-2019</t>
        </is>
      </c>
      <c r="B22" s="1" t="n">
        <v>43766</v>
      </c>
      <c r="C22" s="1" t="n">
        <v>45571</v>
      </c>
      <c r="D22" t="inlineStr">
        <is>
          <t>SKÅNE LÄN</t>
        </is>
      </c>
      <c r="E22" t="inlineStr">
        <is>
          <t>SVEDALA</t>
        </is>
      </c>
      <c r="F22" t="inlineStr">
        <is>
          <t>Kommuner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18642-2020</t>
        </is>
      </c>
      <c r="B23" s="1" t="n">
        <v>43929</v>
      </c>
      <c r="C23" s="1" t="n">
        <v>45571</v>
      </c>
      <c r="D23" t="inlineStr">
        <is>
          <t>SKÅNE LÄN</t>
        </is>
      </c>
      <c r="E23" t="inlineStr">
        <is>
          <t>SVEDALA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35912-2020</t>
        </is>
      </c>
      <c r="B24" s="1" t="n">
        <v>44047</v>
      </c>
      <c r="C24" s="1" t="n">
        <v>45571</v>
      </c>
      <c r="D24" t="inlineStr">
        <is>
          <t>SKÅNE LÄN</t>
        </is>
      </c>
      <c r="E24" t="inlineStr">
        <is>
          <t>SVEDALA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62300-2020</t>
        </is>
      </c>
      <c r="B25" s="1" t="n">
        <v>44158</v>
      </c>
      <c r="C25" s="1" t="n">
        <v>45571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67778-2020</t>
        </is>
      </c>
      <c r="B26" s="1" t="n">
        <v>44182</v>
      </c>
      <c r="C26" s="1" t="n">
        <v>45571</v>
      </c>
      <c r="D26" t="inlineStr">
        <is>
          <t>SKÅNE LÄN</t>
        </is>
      </c>
      <c r="E26" t="inlineStr">
        <is>
          <t>SVEDALA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18491-2021</t>
        </is>
      </c>
      <c r="B27" s="1" t="n">
        <v>44306</v>
      </c>
      <c r="C27" s="1" t="n">
        <v>45571</v>
      </c>
      <c r="D27" t="inlineStr">
        <is>
          <t>SKÅNE LÄN</t>
        </is>
      </c>
      <c r="E27" t="inlineStr">
        <is>
          <t>SVEDALA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31393-2021</t>
        </is>
      </c>
      <c r="B28" s="1" t="n">
        <v>44368</v>
      </c>
      <c r="C28" s="1" t="n">
        <v>45571</v>
      </c>
      <c r="D28" t="inlineStr">
        <is>
          <t>SKÅNE LÄN</t>
        </is>
      </c>
      <c r="E28" t="inlineStr">
        <is>
          <t>SVEDALA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67456-2021</t>
        </is>
      </c>
      <c r="B29" s="1" t="n">
        <v>44524</v>
      </c>
      <c r="C29" s="1" t="n">
        <v>45571</v>
      </c>
      <c r="D29" t="inlineStr">
        <is>
          <t>SKÅNE LÄN</t>
        </is>
      </c>
      <c r="E29" t="inlineStr">
        <is>
          <t>SVEDALA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21072-2022</t>
        </is>
      </c>
      <c r="B30" s="1" t="n">
        <v>44704</v>
      </c>
      <c r="C30" s="1" t="n">
        <v>45571</v>
      </c>
      <c r="D30" t="inlineStr">
        <is>
          <t>SKÅNE LÄN</t>
        </is>
      </c>
      <c r="E30" t="inlineStr">
        <is>
          <t>SVEDALA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27112-2022</t>
        </is>
      </c>
      <c r="B31" s="1" t="n">
        <v>44741</v>
      </c>
      <c r="C31" s="1" t="n">
        <v>45571</v>
      </c>
      <c r="D31" t="inlineStr">
        <is>
          <t>SKÅNE LÄN</t>
        </is>
      </c>
      <c r="E31" t="inlineStr">
        <is>
          <t>SVEDALA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27113-2022</t>
        </is>
      </c>
      <c r="B32" s="1" t="n">
        <v>44741</v>
      </c>
      <c r="C32" s="1" t="n">
        <v>45571</v>
      </c>
      <c r="D32" t="inlineStr">
        <is>
          <t>SKÅNE LÄN</t>
        </is>
      </c>
      <c r="E32" t="inlineStr">
        <is>
          <t>SVEDALA</t>
        </is>
      </c>
      <c r="G32" t="n">
        <v>8.9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27107-2022</t>
        </is>
      </c>
      <c r="B33" s="1" t="n">
        <v>44741</v>
      </c>
      <c r="C33" s="1" t="n">
        <v>45571</v>
      </c>
      <c r="D33" t="inlineStr">
        <is>
          <t>SKÅNE LÄN</t>
        </is>
      </c>
      <c r="E33" t="inlineStr">
        <is>
          <t>SVEDALA</t>
        </is>
      </c>
      <c r="G33" t="n">
        <v>10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55663-2022</t>
        </is>
      </c>
      <c r="B34" s="1" t="n">
        <v>44883</v>
      </c>
      <c r="C34" s="1" t="n">
        <v>45571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57803-2022</t>
        </is>
      </c>
      <c r="B35" s="1" t="n">
        <v>44897</v>
      </c>
      <c r="C35" s="1" t="n">
        <v>45571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45571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59432-2022</t>
        </is>
      </c>
      <c r="B37" s="1" t="n">
        <v>44907</v>
      </c>
      <c r="C37" s="1" t="n">
        <v>45571</v>
      </c>
      <c r="D37" t="inlineStr">
        <is>
          <t>SKÅNE LÄN</t>
        </is>
      </c>
      <c r="E37" t="inlineStr">
        <is>
          <t>SVEDALA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13344-2023</t>
        </is>
      </c>
      <c r="B38" s="1" t="n">
        <v>45005</v>
      </c>
      <c r="C38" s="1" t="n">
        <v>45571</v>
      </c>
      <c r="D38" t="inlineStr">
        <is>
          <t>SKÅNE LÄN</t>
        </is>
      </c>
      <c r="E38" t="inlineStr">
        <is>
          <t>SVEDALA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14150-2023</t>
        </is>
      </c>
      <c r="B39" s="1" t="n">
        <v>45009</v>
      </c>
      <c r="C39" s="1" t="n">
        <v>45571</v>
      </c>
      <c r="D39" t="inlineStr">
        <is>
          <t>SKÅNE LÄN</t>
        </is>
      </c>
      <c r="E39" t="inlineStr">
        <is>
          <t>SVEDALA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16690-2023</t>
        </is>
      </c>
      <c r="B40" s="1" t="n">
        <v>45030</v>
      </c>
      <c r="C40" s="1" t="n">
        <v>45571</v>
      </c>
      <c r="D40" t="inlineStr">
        <is>
          <t>SKÅNE LÄN</t>
        </is>
      </c>
      <c r="E40" t="inlineStr">
        <is>
          <t>SVEDALA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16678-2023</t>
        </is>
      </c>
      <c r="B41" s="1" t="n">
        <v>45030</v>
      </c>
      <c r="C41" s="1" t="n">
        <v>45571</v>
      </c>
      <c r="D41" t="inlineStr">
        <is>
          <t>SKÅNE LÄN</t>
        </is>
      </c>
      <c r="E41" t="inlineStr">
        <is>
          <t>SVEDALA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19190-2023</t>
        </is>
      </c>
      <c r="B42" s="1" t="n">
        <v>45048</v>
      </c>
      <c r="C42" s="1" t="n">
        <v>45571</v>
      </c>
      <c r="D42" t="inlineStr">
        <is>
          <t>SKÅNE LÄN</t>
        </is>
      </c>
      <c r="E42" t="inlineStr">
        <is>
          <t>SVEDALA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29030-2023</t>
        </is>
      </c>
      <c r="B43" s="1" t="n">
        <v>45104</v>
      </c>
      <c r="C43" s="1" t="n">
        <v>45571</v>
      </c>
      <c r="D43" t="inlineStr">
        <is>
          <t>SKÅNE LÄN</t>
        </is>
      </c>
      <c r="E43" t="inlineStr">
        <is>
          <t>SVEDALA</t>
        </is>
      </c>
      <c r="G43" t="n">
        <v>8.1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31694-2023</t>
        </is>
      </c>
      <c r="B44" s="1" t="n">
        <v>45117</v>
      </c>
      <c r="C44" s="1" t="n">
        <v>45571</v>
      </c>
      <c r="D44" t="inlineStr">
        <is>
          <t>SKÅNE LÄN</t>
        </is>
      </c>
      <c r="E44" t="inlineStr">
        <is>
          <t>SVEDALA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31690-2023</t>
        </is>
      </c>
      <c r="B45" s="1" t="n">
        <v>45117</v>
      </c>
      <c r="C45" s="1" t="n">
        <v>45571</v>
      </c>
      <c r="D45" t="inlineStr">
        <is>
          <t>SKÅNE LÄN</t>
        </is>
      </c>
      <c r="E45" t="inlineStr">
        <is>
          <t>SVEDALA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31701-2023</t>
        </is>
      </c>
      <c r="B46" s="1" t="n">
        <v>45117</v>
      </c>
      <c r="C46" s="1" t="n">
        <v>45571</v>
      </c>
      <c r="D46" t="inlineStr">
        <is>
          <t>SKÅNE LÄN</t>
        </is>
      </c>
      <c r="E46" t="inlineStr">
        <is>
          <t>SVEDALA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31693-2023</t>
        </is>
      </c>
      <c r="B47" s="1" t="n">
        <v>45117</v>
      </c>
      <c r="C47" s="1" t="n">
        <v>45571</v>
      </c>
      <c r="D47" t="inlineStr">
        <is>
          <t>SKÅNE LÄN</t>
        </is>
      </c>
      <c r="E47" t="inlineStr">
        <is>
          <t>SVEDALA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38011-2023</t>
        </is>
      </c>
      <c r="B48" s="1" t="n">
        <v>45160</v>
      </c>
      <c r="C48" s="1" t="n">
        <v>45571</v>
      </c>
      <c r="D48" t="inlineStr">
        <is>
          <t>SKÅNE LÄN</t>
        </is>
      </c>
      <c r="E48" t="inlineStr">
        <is>
          <t>SVEDALA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54282-2023</t>
        </is>
      </c>
      <c r="B49" s="1" t="n">
        <v>45232</v>
      </c>
      <c r="C49" s="1" t="n">
        <v>45571</v>
      </c>
      <c r="D49" t="inlineStr">
        <is>
          <t>SKÅNE LÄN</t>
        </is>
      </c>
      <c r="E49" t="inlineStr">
        <is>
          <t>SVEDALA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54280-2023</t>
        </is>
      </c>
      <c r="B50" s="1" t="n">
        <v>45232</v>
      </c>
      <c r="C50" s="1" t="n">
        <v>45571</v>
      </c>
      <c r="D50" t="inlineStr">
        <is>
          <t>SKÅNE LÄN</t>
        </is>
      </c>
      <c r="E50" t="inlineStr">
        <is>
          <t>SVEDALA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54284-2023</t>
        </is>
      </c>
      <c r="B51" s="1" t="n">
        <v>45232</v>
      </c>
      <c r="C51" s="1" t="n">
        <v>45571</v>
      </c>
      <c r="D51" t="inlineStr">
        <is>
          <t>SKÅNE LÄN</t>
        </is>
      </c>
      <c r="E51" t="inlineStr">
        <is>
          <t>SVEDALA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54580-2023</t>
        </is>
      </c>
      <c r="B52" s="1" t="n">
        <v>45233</v>
      </c>
      <c r="C52" s="1" t="n">
        <v>45571</v>
      </c>
      <c r="D52" t="inlineStr">
        <is>
          <t>SKÅNE LÄN</t>
        </is>
      </c>
      <c r="E52" t="inlineStr">
        <is>
          <t>SVEDALA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54579-2023</t>
        </is>
      </c>
      <c r="B53" s="1" t="n">
        <v>45233</v>
      </c>
      <c r="C53" s="1" t="n">
        <v>45571</v>
      </c>
      <c r="D53" t="inlineStr">
        <is>
          <t>SKÅNE LÄN</t>
        </is>
      </c>
      <c r="E53" t="inlineStr">
        <is>
          <t>SVEDALA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56202-2023</t>
        </is>
      </c>
      <c r="B54" s="1" t="n">
        <v>45240</v>
      </c>
      <c r="C54" s="1" t="n">
        <v>45571</v>
      </c>
      <c r="D54" t="inlineStr">
        <is>
          <t>SKÅNE LÄN</t>
        </is>
      </c>
      <c r="E54" t="inlineStr">
        <is>
          <t>SVEDALA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4312-2024</t>
        </is>
      </c>
      <c r="B55" s="1" t="n">
        <v>45324</v>
      </c>
      <c r="C55" s="1" t="n">
        <v>45571</v>
      </c>
      <c r="D55" t="inlineStr">
        <is>
          <t>SKÅNE LÄN</t>
        </is>
      </c>
      <c r="E55" t="inlineStr">
        <is>
          <t>SVEDALA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15277-2024</t>
        </is>
      </c>
      <c r="B56" s="1" t="n">
        <v>45400</v>
      </c>
      <c r="C56" s="1" t="n">
        <v>45571</v>
      </c>
      <c r="D56" t="inlineStr">
        <is>
          <t>SKÅNE LÄN</t>
        </is>
      </c>
      <c r="E56" t="inlineStr">
        <is>
          <t>SVEDALA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15582-2024</t>
        </is>
      </c>
      <c r="B57" s="1" t="n">
        <v>45401</v>
      </c>
      <c r="C57" s="1" t="n">
        <v>45571</v>
      </c>
      <c r="D57" t="inlineStr">
        <is>
          <t>SKÅNE LÄN</t>
        </is>
      </c>
      <c r="E57" t="inlineStr">
        <is>
          <t>SVEDALA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15565-2024</t>
        </is>
      </c>
      <c r="B58" s="1" t="n">
        <v>45401</v>
      </c>
      <c r="C58" s="1" t="n">
        <v>45571</v>
      </c>
      <c r="D58" t="inlineStr">
        <is>
          <t>SKÅNE LÄN</t>
        </is>
      </c>
      <c r="E58" t="inlineStr">
        <is>
          <t>SVEDALA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15577-2024</t>
        </is>
      </c>
      <c r="B59" s="1" t="n">
        <v>45401</v>
      </c>
      <c r="C59" s="1" t="n">
        <v>45571</v>
      </c>
      <c r="D59" t="inlineStr">
        <is>
          <t>SKÅNE LÄN</t>
        </is>
      </c>
      <c r="E59" t="inlineStr">
        <is>
          <t>SVEDALA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16199-2024</t>
        </is>
      </c>
      <c r="B60" s="1" t="n">
        <v>45406</v>
      </c>
      <c r="C60" s="1" t="n">
        <v>45571</v>
      </c>
      <c r="D60" t="inlineStr">
        <is>
          <t>SKÅNE LÄN</t>
        </is>
      </c>
      <c r="E60" t="inlineStr">
        <is>
          <t>SVEDALA</t>
        </is>
      </c>
      <c r="G60" t="n">
        <v>13.5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16202-2024</t>
        </is>
      </c>
      <c r="B61" s="1" t="n">
        <v>45406</v>
      </c>
      <c r="C61" s="1" t="n">
        <v>45571</v>
      </c>
      <c r="D61" t="inlineStr">
        <is>
          <t>SKÅNE LÄN</t>
        </is>
      </c>
      <c r="E61" t="inlineStr">
        <is>
          <t>SVEDALA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16203-2024</t>
        </is>
      </c>
      <c r="B62" s="1" t="n">
        <v>45406</v>
      </c>
      <c r="C62" s="1" t="n">
        <v>45571</v>
      </c>
      <c r="D62" t="inlineStr">
        <is>
          <t>SKÅNE LÄN</t>
        </is>
      </c>
      <c r="E62" t="inlineStr">
        <is>
          <t>SVEDALA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18887-2024</t>
        </is>
      </c>
      <c r="B63" s="1" t="n">
        <v>45427</v>
      </c>
      <c r="C63" s="1" t="n">
        <v>45571</v>
      </c>
      <c r="D63" t="inlineStr">
        <is>
          <t>SKÅNE LÄN</t>
        </is>
      </c>
      <c r="E63" t="inlineStr">
        <is>
          <t>SVEDALA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18888-2024</t>
        </is>
      </c>
      <c r="B64" s="1" t="n">
        <v>45427</v>
      </c>
      <c r="C64" s="1" t="n">
        <v>45571</v>
      </c>
      <c r="D64" t="inlineStr">
        <is>
          <t>SKÅNE LÄN</t>
        </is>
      </c>
      <c r="E64" t="inlineStr">
        <is>
          <t>SVEDALA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19268-2024</t>
        </is>
      </c>
      <c r="B65" s="1" t="n">
        <v>45428</v>
      </c>
      <c r="C65" s="1" t="n">
        <v>45571</v>
      </c>
      <c r="D65" t="inlineStr">
        <is>
          <t>SKÅNE LÄN</t>
        </is>
      </c>
      <c r="E65" t="inlineStr">
        <is>
          <t>SVEDALA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25603-2024</t>
        </is>
      </c>
      <c r="B66" s="1" t="n">
        <v>45463</v>
      </c>
      <c r="C66" s="1" t="n">
        <v>45571</v>
      </c>
      <c r="D66" t="inlineStr">
        <is>
          <t>SKÅNE LÄN</t>
        </is>
      </c>
      <c r="E66" t="inlineStr">
        <is>
          <t>SVEDALA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32555-2024</t>
        </is>
      </c>
      <c r="B67" s="1" t="n">
        <v>45513</v>
      </c>
      <c r="C67" s="1" t="n">
        <v>45571</v>
      </c>
      <c r="D67" t="inlineStr">
        <is>
          <t>SKÅNE LÄN</t>
        </is>
      </c>
      <c r="E67" t="inlineStr">
        <is>
          <t>SVEDALA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2024-10-06T12:03:28Z</dcterms:created>
  <dcterms:modified xmlns:dcterms="http://purl.org/dc/terms/" xmlns:xsi="http://www.w3.org/2001/XMLSchema-instance" xsi:type="dcterms:W3CDTF">2024-10-06T12:03:28Z</dcterms:modified>
</cp:coreProperties>
</file>