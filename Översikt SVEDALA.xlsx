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45800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45800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45800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27244-2024</t>
        </is>
      </c>
      <c r="B5" s="1" t="n">
        <v>45471</v>
      </c>
      <c r="C5" s="1" t="n">
        <v>45800</v>
      </c>
      <c r="D5" t="inlineStr">
        <is>
          <t>SKÅNE LÄN</t>
        </is>
      </c>
      <c r="E5" t="inlineStr">
        <is>
          <t>SVEDALA</t>
        </is>
      </c>
      <c r="G5" t="n">
        <v>1.9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Svartvit flugsnappare
Stor häxört</t>
        </is>
      </c>
      <c r="S5">
        <f>HYPERLINK("https://klasma.github.io/Logging_1263/artfynd/A 27244-2024 artfynd.xlsx", "A 27244-2024")</f>
        <v/>
      </c>
      <c r="T5">
        <f>HYPERLINK("https://klasma.github.io/Logging_1263/kartor/A 27244-2024 karta.png", "A 27244-2024")</f>
        <v/>
      </c>
      <c r="V5">
        <f>HYPERLINK("https://klasma.github.io/Logging_1263/klagomål/A 27244-2024 FSC-klagomål.docx", "A 27244-2024")</f>
        <v/>
      </c>
      <c r="W5">
        <f>HYPERLINK("https://klasma.github.io/Logging_1263/klagomålsmail/A 27244-2024 FSC-klagomål mail.docx", "A 27244-2024")</f>
        <v/>
      </c>
      <c r="X5">
        <f>HYPERLINK("https://klasma.github.io/Logging_1263/tillsyn/A 27244-2024 tillsynsbegäran.docx", "A 27244-2024")</f>
        <v/>
      </c>
      <c r="Y5">
        <f>HYPERLINK("https://klasma.github.io/Logging_1263/tillsynsmail/A 27244-2024 tillsynsbegäran mail.docx", "A 27244-2024")</f>
        <v/>
      </c>
      <c r="Z5">
        <f>HYPERLINK("https://klasma.github.io/Logging_1263/fåglar/A 27244-2024 prioriterade fågelarter.docx", "A 27244-2024")</f>
        <v/>
      </c>
    </row>
    <row r="6" ht="15" customHeight="1">
      <c r="A6" t="inlineStr">
        <is>
          <t>A 30713-2019</t>
        </is>
      </c>
      <c r="B6" s="1" t="n">
        <v>43636</v>
      </c>
      <c r="C6" s="1" t="n">
        <v>45800</v>
      </c>
      <c r="D6" t="inlineStr">
        <is>
          <t>SKÅNE LÄN</t>
        </is>
      </c>
      <c r="E6" t="inlineStr">
        <is>
          <t>SVEDALA</t>
        </is>
      </c>
      <c r="G6" t="n">
        <v>2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Kragjordstjärna
Stor häxört</t>
        </is>
      </c>
      <c r="S6">
        <f>HYPERLINK("https://klasma.github.io/Logging_1263/artfynd/A 30713-2019 artfynd.xlsx", "A 30713-2019")</f>
        <v/>
      </c>
      <c r="T6">
        <f>HYPERLINK("https://klasma.github.io/Logging_1263/kartor/A 30713-2019 karta.png", "A 30713-2019")</f>
        <v/>
      </c>
      <c r="V6">
        <f>HYPERLINK("https://klasma.github.io/Logging_1263/klagomål/A 30713-2019 FSC-klagomål.docx", "A 30713-2019")</f>
        <v/>
      </c>
      <c r="W6">
        <f>HYPERLINK("https://klasma.github.io/Logging_1263/klagomålsmail/A 30713-2019 FSC-klagomål mail.docx", "A 30713-2019")</f>
        <v/>
      </c>
      <c r="X6">
        <f>HYPERLINK("https://klasma.github.io/Logging_1263/tillsyn/A 30713-2019 tillsynsbegäran.docx", "A 30713-2019")</f>
        <v/>
      </c>
      <c r="Y6">
        <f>HYPERLINK("https://klasma.github.io/Logging_1263/tillsynsmail/A 30713-2019 tillsynsbegäran mail.docx", "A 30713-2019")</f>
        <v/>
      </c>
    </row>
    <row r="7" ht="15" customHeight="1">
      <c r="A7" t="inlineStr">
        <is>
          <t>A 18228-2020</t>
        </is>
      </c>
      <c r="B7" s="1" t="n">
        <v>43928</v>
      </c>
      <c r="C7" s="1" t="n">
        <v>45800</v>
      </c>
      <c r="D7" t="inlineStr">
        <is>
          <t>SKÅNE LÄN</t>
        </is>
      </c>
      <c r="E7" t="inlineStr">
        <is>
          <t>SVEDALA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Ädellav
Bokkantlav</t>
        </is>
      </c>
      <c r="S7">
        <f>HYPERLINK("https://klasma.github.io/Logging_1263/artfynd/A 18228-2020 artfynd.xlsx", "A 18228-2020")</f>
        <v/>
      </c>
      <c r="T7">
        <f>HYPERLINK("https://klasma.github.io/Logging_1263/kartor/A 18228-2020 karta.png", "A 18228-2020")</f>
        <v/>
      </c>
      <c r="V7">
        <f>HYPERLINK("https://klasma.github.io/Logging_1263/klagomål/A 18228-2020 FSC-klagomål.docx", "A 18228-2020")</f>
        <v/>
      </c>
      <c r="W7">
        <f>HYPERLINK("https://klasma.github.io/Logging_1263/klagomålsmail/A 18228-2020 FSC-klagomål mail.docx", "A 18228-2020")</f>
        <v/>
      </c>
      <c r="X7">
        <f>HYPERLINK("https://klasma.github.io/Logging_1263/tillsyn/A 18228-2020 tillsynsbegäran.docx", "A 18228-2020")</f>
        <v/>
      </c>
      <c r="Y7">
        <f>HYPERLINK("https://klasma.github.io/Logging_1263/tillsynsmail/A 18228-2020 tillsynsbegäran mail.docx", "A 18228-2020")</f>
        <v/>
      </c>
    </row>
    <row r="8" ht="15" customHeight="1">
      <c r="A8" t="inlineStr">
        <is>
          <t>A 5244-2021</t>
        </is>
      </c>
      <c r="B8" s="1" t="n">
        <v>44229</v>
      </c>
      <c r="C8" s="1" t="n">
        <v>45800</v>
      </c>
      <c r="D8" t="inlineStr">
        <is>
          <t>SKÅNE LÄN</t>
        </is>
      </c>
      <c r="E8" t="inlineStr">
        <is>
          <t>SVEDALA</t>
        </is>
      </c>
      <c r="G8" t="n">
        <v>5.3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Koralltaggsvamp
Safsa</t>
        </is>
      </c>
      <c r="S8">
        <f>HYPERLINK("https://klasma.github.io/Logging_1263/artfynd/A 5244-2021 artfynd.xlsx", "A 5244-2021")</f>
        <v/>
      </c>
      <c r="T8">
        <f>HYPERLINK("https://klasma.github.io/Logging_1263/kartor/A 5244-2021 karta.png", "A 5244-2021")</f>
        <v/>
      </c>
      <c r="V8">
        <f>HYPERLINK("https://klasma.github.io/Logging_1263/klagomål/A 5244-2021 FSC-klagomål.docx", "A 5244-2021")</f>
        <v/>
      </c>
      <c r="W8">
        <f>HYPERLINK("https://klasma.github.io/Logging_1263/klagomålsmail/A 5244-2021 FSC-klagomål mail.docx", "A 5244-2021")</f>
        <v/>
      </c>
      <c r="X8">
        <f>HYPERLINK("https://klasma.github.io/Logging_1263/tillsyn/A 5244-2021 tillsynsbegäran.docx", "A 5244-2021")</f>
        <v/>
      </c>
      <c r="Y8">
        <f>HYPERLINK("https://klasma.github.io/Logging_1263/tillsynsmail/A 5244-2021 tillsynsbegäran mail.docx", "A 5244-2021")</f>
        <v/>
      </c>
    </row>
    <row r="9" ht="15" customHeight="1">
      <c r="A9" t="inlineStr">
        <is>
          <t>A 29029-2023</t>
        </is>
      </c>
      <c r="B9" s="1" t="n">
        <v>45104</v>
      </c>
      <c r="C9" s="1" t="n">
        <v>45800</v>
      </c>
      <c r="D9" t="inlineStr">
        <is>
          <t>SKÅNE LÄN</t>
        </is>
      </c>
      <c r="E9" t="inlineStr">
        <is>
          <t>SVEDALA</t>
        </is>
      </c>
      <c r="G9" t="n">
        <v>22.3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Citronfläckad kärrtrollslända
Ätlig groda</t>
        </is>
      </c>
      <c r="S9">
        <f>HYPERLINK("https://klasma.github.io/Logging_1263/artfynd/A 29029-2023 artfynd.xlsx", "A 29029-2023")</f>
        <v/>
      </c>
      <c r="T9">
        <f>HYPERLINK("https://klasma.github.io/Logging_1263/kartor/A 29029-2023 karta.png", "A 29029-2023")</f>
        <v/>
      </c>
      <c r="V9">
        <f>HYPERLINK("https://klasma.github.io/Logging_1263/klagomål/A 29029-2023 FSC-klagomål.docx", "A 29029-2023")</f>
        <v/>
      </c>
      <c r="W9">
        <f>HYPERLINK("https://klasma.github.io/Logging_1263/klagomålsmail/A 29029-2023 FSC-klagomål mail.docx", "A 29029-2023")</f>
        <v/>
      </c>
      <c r="X9">
        <f>HYPERLINK("https://klasma.github.io/Logging_1263/tillsyn/A 29029-2023 tillsynsbegäran.docx", "A 29029-2023")</f>
        <v/>
      </c>
      <c r="Y9">
        <f>HYPERLINK("https://klasma.github.io/Logging_1263/tillsynsmail/A 29029-2023 tillsynsbegäran mail.docx", "A 29029-2023")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45800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45800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45800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30710-2019</t>
        </is>
      </c>
      <c r="B13" s="1" t="n">
        <v>43636</v>
      </c>
      <c r="C13" s="1" t="n">
        <v>45800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Bokoxe</t>
        </is>
      </c>
      <c r="S13">
        <f>HYPERLINK("https://klasma.github.io/Logging_1263/artfynd/A 30710-2019 artfynd.xlsx", "A 30710-2019")</f>
        <v/>
      </c>
      <c r="T13">
        <f>HYPERLINK("https://klasma.github.io/Logging_1263/kartor/A 30710-2019 karta.png", "A 30710-2019")</f>
        <v/>
      </c>
      <c r="V13">
        <f>HYPERLINK("https://klasma.github.io/Logging_1263/klagomål/A 30710-2019 FSC-klagomål.docx", "A 30710-2019")</f>
        <v/>
      </c>
      <c r="W13">
        <f>HYPERLINK("https://klasma.github.io/Logging_1263/klagomålsmail/A 30710-2019 FSC-klagomål mail.docx", "A 30710-2019")</f>
        <v/>
      </c>
      <c r="X13">
        <f>HYPERLINK("https://klasma.github.io/Logging_1263/tillsyn/A 30710-2019 tillsynsbegäran.docx", "A 30710-2019")</f>
        <v/>
      </c>
      <c r="Y13">
        <f>HYPERLINK("https://klasma.github.io/Logging_1263/tillsynsmail/A 30710-2019 tillsynsbegäran mail.docx", "A 30710-2019")</f>
        <v/>
      </c>
    </row>
    <row r="14" ht="15" customHeight="1">
      <c r="A14" t="inlineStr">
        <is>
          <t>A 46202-2019</t>
        </is>
      </c>
      <c r="B14" s="1" t="n">
        <v>43713</v>
      </c>
      <c r="C14" s="1" t="n">
        <v>45800</v>
      </c>
      <c r="D14" t="inlineStr">
        <is>
          <t>SKÅNE LÄN</t>
        </is>
      </c>
      <c r="E14" t="inlineStr">
        <is>
          <t>SVEDALA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HYPERLINK("https://klasma.github.io/Logging_1263/artfynd/A 46202-2019 artfynd.xlsx", "A 46202-2019")</f>
        <v/>
      </c>
      <c r="T14">
        <f>HYPERLINK("https://klasma.github.io/Logging_1263/kartor/A 46202-2019 karta.png", "A 46202-2019")</f>
        <v/>
      </c>
      <c r="V14">
        <f>HYPERLINK("https://klasma.github.io/Logging_1263/klagomål/A 46202-2019 FSC-klagomål.docx", "A 46202-2019")</f>
        <v/>
      </c>
      <c r="W14">
        <f>HYPERLINK("https://klasma.github.io/Logging_1263/klagomålsmail/A 46202-2019 FSC-klagomål mail.docx", "A 46202-2019")</f>
        <v/>
      </c>
      <c r="X14">
        <f>HYPERLINK("https://klasma.github.io/Logging_1263/tillsyn/A 46202-2019 tillsynsbegäran.docx", "A 46202-2019")</f>
        <v/>
      </c>
      <c r="Y14">
        <f>HYPERLINK("https://klasma.github.io/Logging_1263/tillsynsmail/A 46202-2019 tillsynsbegäran mail.docx", "A 46202-2019")</f>
        <v/>
      </c>
    </row>
    <row r="15" ht="15" customHeight="1">
      <c r="A15" t="inlineStr">
        <is>
          <t>A 30733-2020</t>
        </is>
      </c>
      <c r="B15" s="1" t="n">
        <v>44008</v>
      </c>
      <c r="C15" s="1" t="n">
        <v>45800</v>
      </c>
      <c r="D15" t="inlineStr">
        <is>
          <t>SKÅNE LÄN</t>
        </is>
      </c>
      <c r="E15" t="inlineStr">
        <is>
          <t>SVEDALA</t>
        </is>
      </c>
      <c r="G15" t="n">
        <v>1.4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Större grynsnäcka</t>
        </is>
      </c>
      <c r="S15">
        <f>HYPERLINK("https://klasma.github.io/Logging_1263/artfynd/A 30733-2020 artfynd.xlsx", "A 30733-2020")</f>
        <v/>
      </c>
      <c r="T15">
        <f>HYPERLINK("https://klasma.github.io/Logging_1263/kartor/A 30733-2020 karta.png", "A 30733-2020")</f>
        <v/>
      </c>
      <c r="V15">
        <f>HYPERLINK("https://klasma.github.io/Logging_1263/klagomål/A 30733-2020 FSC-klagomål.docx", "A 30733-2020")</f>
        <v/>
      </c>
      <c r="W15">
        <f>HYPERLINK("https://klasma.github.io/Logging_1263/klagomålsmail/A 30733-2020 FSC-klagomål mail.docx", "A 30733-2020")</f>
        <v/>
      </c>
      <c r="X15">
        <f>HYPERLINK("https://klasma.github.io/Logging_1263/tillsyn/A 30733-2020 tillsynsbegäran.docx", "A 30733-2020")</f>
        <v/>
      </c>
      <c r="Y15">
        <f>HYPERLINK("https://klasma.github.io/Logging_1263/tillsynsmail/A 30733-2020 tillsynsbegäran mail.docx", "A 30733-2020")</f>
        <v/>
      </c>
    </row>
    <row r="16" ht="15" customHeight="1">
      <c r="A16" t="inlineStr">
        <is>
          <t>A 18464-2022</t>
        </is>
      </c>
      <c r="B16" s="1" t="n">
        <v>44686</v>
      </c>
      <c r="C16" s="1" t="n">
        <v>45800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HYPERLINK("https://klasma.github.io/Logging_1263/artfynd/A 18464-2022 artfynd.xlsx", "A 18464-2022")</f>
        <v/>
      </c>
      <c r="T16">
        <f>HYPERLINK("https://klasma.github.io/Logging_1263/kartor/A 18464-2022 karta.png", "A 18464-2022")</f>
        <v/>
      </c>
      <c r="V16">
        <f>HYPERLINK("https://klasma.github.io/Logging_1263/klagomål/A 18464-2022 FSC-klagomål.docx", "A 18464-2022")</f>
        <v/>
      </c>
      <c r="W16">
        <f>HYPERLINK("https://klasma.github.io/Logging_1263/klagomålsmail/A 18464-2022 FSC-klagomål mail.docx", "A 18464-2022")</f>
        <v/>
      </c>
      <c r="X16">
        <f>HYPERLINK("https://klasma.github.io/Logging_1263/tillsyn/A 18464-2022 tillsynsbegäran.docx", "A 18464-2022")</f>
        <v/>
      </c>
      <c r="Y16">
        <f>HYPERLINK("https://klasma.github.io/Logging_1263/tillsynsmail/A 18464-2022 tillsynsbegäran mail.docx", "A 18464-2022")</f>
        <v/>
      </c>
    </row>
    <row r="17" ht="15" customHeight="1">
      <c r="A17" t="inlineStr">
        <is>
          <t>A 16684-2023</t>
        </is>
      </c>
      <c r="B17" s="1" t="n">
        <v>45030</v>
      </c>
      <c r="C17" s="1" t="n">
        <v>45800</v>
      </c>
      <c r="D17" t="inlineStr">
        <is>
          <t>SKÅNE LÄN</t>
        </is>
      </c>
      <c r="E17" t="inlineStr">
        <is>
          <t>SVEDALA</t>
        </is>
      </c>
      <c r="G17" t="n">
        <v>6.1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Större grynsnäcka</t>
        </is>
      </c>
      <c r="S17">
        <f>HYPERLINK("https://klasma.github.io/Logging_1263/artfynd/A 16684-2023 artfynd.xlsx", "A 16684-2023")</f>
        <v/>
      </c>
      <c r="T17">
        <f>HYPERLINK("https://klasma.github.io/Logging_1263/kartor/A 16684-2023 karta.png", "A 16684-2023")</f>
        <v/>
      </c>
      <c r="V17">
        <f>HYPERLINK("https://klasma.github.io/Logging_1263/klagomål/A 16684-2023 FSC-klagomål.docx", "A 16684-2023")</f>
        <v/>
      </c>
      <c r="W17">
        <f>HYPERLINK("https://klasma.github.io/Logging_1263/klagomålsmail/A 16684-2023 FSC-klagomål mail.docx", "A 16684-2023")</f>
        <v/>
      </c>
      <c r="X17">
        <f>HYPERLINK("https://klasma.github.io/Logging_1263/tillsyn/A 16684-2023 tillsynsbegäran.docx", "A 16684-2023")</f>
        <v/>
      </c>
      <c r="Y17">
        <f>HYPERLINK("https://klasma.github.io/Logging_1263/tillsynsmail/A 16684-2023 tillsynsbegäran mail.docx", "A 16684-2023")</f>
        <v/>
      </c>
    </row>
    <row r="18" ht="15" customHeight="1">
      <c r="A18" t="inlineStr">
        <is>
          <t>A 31700-2023</t>
        </is>
      </c>
      <c r="B18" s="1" t="n">
        <v>45117</v>
      </c>
      <c r="C18" s="1" t="n">
        <v>45800</v>
      </c>
      <c r="D18" t="inlineStr">
        <is>
          <t>SKÅNE LÄN</t>
        </is>
      </c>
      <c r="E18" t="inlineStr">
        <is>
          <t>SVEDALA</t>
        </is>
      </c>
      <c r="G18" t="n">
        <v>1.1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Revig blodrot</t>
        </is>
      </c>
      <c r="S18">
        <f>HYPERLINK("https://klasma.github.io/Logging_1263/artfynd/A 31700-2023 artfynd.xlsx", "A 31700-2023")</f>
        <v/>
      </c>
      <c r="T18">
        <f>HYPERLINK("https://klasma.github.io/Logging_1263/kartor/A 31700-2023 karta.png", "A 31700-2023")</f>
        <v/>
      </c>
      <c r="V18">
        <f>HYPERLINK("https://klasma.github.io/Logging_1263/klagomål/A 31700-2023 FSC-klagomål.docx", "A 31700-2023")</f>
        <v/>
      </c>
      <c r="W18">
        <f>HYPERLINK("https://klasma.github.io/Logging_1263/klagomålsmail/A 31700-2023 FSC-klagomål mail.docx", "A 31700-2023")</f>
        <v/>
      </c>
      <c r="X18">
        <f>HYPERLINK("https://klasma.github.io/Logging_1263/tillsyn/A 31700-2023 tillsynsbegäran.docx", "A 31700-2023")</f>
        <v/>
      </c>
      <c r="Y18">
        <f>HYPERLINK("https://klasma.github.io/Logging_1263/tillsynsmail/A 31700-2023 tillsynsbegäran mail.docx", "A 31700-2023")</f>
        <v/>
      </c>
    </row>
    <row r="19" ht="15" customHeight="1">
      <c r="A19" t="inlineStr">
        <is>
          <t>A 2482-2025</t>
        </is>
      </c>
      <c r="B19" s="1" t="n">
        <v>45674</v>
      </c>
      <c r="C19" s="1" t="n">
        <v>45800</v>
      </c>
      <c r="D19" t="inlineStr">
        <is>
          <t>SKÅNE LÄN</t>
        </is>
      </c>
      <c r="E19" t="inlineStr">
        <is>
          <t>SVEDALA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Korallticka</t>
        </is>
      </c>
      <c r="S19">
        <f>HYPERLINK("https://klasma.github.io/Logging_1263/artfynd/A 2482-2025 artfynd.xlsx", "A 2482-2025")</f>
        <v/>
      </c>
      <c r="T19">
        <f>HYPERLINK("https://klasma.github.io/Logging_1263/kartor/A 2482-2025 karta.png", "A 2482-2025")</f>
        <v/>
      </c>
      <c r="V19">
        <f>HYPERLINK("https://klasma.github.io/Logging_1263/klagomål/A 2482-2025 FSC-klagomål.docx", "A 2482-2025")</f>
        <v/>
      </c>
      <c r="W19">
        <f>HYPERLINK("https://klasma.github.io/Logging_1263/klagomålsmail/A 2482-2025 FSC-klagomål mail.docx", "A 2482-2025")</f>
        <v/>
      </c>
      <c r="X19">
        <f>HYPERLINK("https://klasma.github.io/Logging_1263/tillsyn/A 2482-2025 tillsynsbegäran.docx", "A 2482-2025")</f>
        <v/>
      </c>
      <c r="Y19">
        <f>HYPERLINK("https://klasma.github.io/Logging_1263/tillsynsmail/A 2482-2025 tillsynsbegäran mail.docx", "A 2482-2025")</f>
        <v/>
      </c>
    </row>
    <row r="20" ht="15" customHeight="1">
      <c r="A20" t="inlineStr">
        <is>
          <t>A 31951-2019</t>
        </is>
      </c>
      <c r="B20" s="1" t="n">
        <v>43642</v>
      </c>
      <c r="C20" s="1" t="n">
        <v>45800</v>
      </c>
      <c r="D20" t="inlineStr">
        <is>
          <t>SKÅNE LÄN</t>
        </is>
      </c>
      <c r="E20" t="inlineStr">
        <is>
          <t>SVEDALA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31948-2019</t>
        </is>
      </c>
      <c r="B21" s="1" t="n">
        <v>43642</v>
      </c>
      <c r="C21" s="1" t="n">
        <v>45800</v>
      </c>
      <c r="D21" t="inlineStr">
        <is>
          <t>SKÅNE LÄN</t>
        </is>
      </c>
      <c r="E21" t="inlineStr">
        <is>
          <t>SVEDALA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33240-2019</t>
        </is>
      </c>
      <c r="B22" s="1" t="n">
        <v>43644</v>
      </c>
      <c r="C22" s="1" t="n">
        <v>45800</v>
      </c>
      <c r="D22" t="inlineStr">
        <is>
          <t>SKÅNE LÄN</t>
        </is>
      </c>
      <c r="E22" t="inlineStr">
        <is>
          <t>SVEDALA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46216-2019</t>
        </is>
      </c>
      <c r="B23" s="1" t="n">
        <v>43713</v>
      </c>
      <c r="C23" s="1" t="n">
        <v>45800</v>
      </c>
      <c r="D23" t="inlineStr">
        <is>
          <t>SKÅNE LÄN</t>
        </is>
      </c>
      <c r="E23" t="inlineStr">
        <is>
          <t>SVEDALA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56856-2019</t>
        </is>
      </c>
      <c r="B24" s="1" t="n">
        <v>43766</v>
      </c>
      <c r="C24" s="1" t="n">
        <v>45800</v>
      </c>
      <c r="D24" t="inlineStr">
        <is>
          <t>SKÅNE LÄN</t>
        </is>
      </c>
      <c r="E24" t="inlineStr">
        <is>
          <t>SVEDALA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18642-2020</t>
        </is>
      </c>
      <c r="B25" s="1" t="n">
        <v>43929</v>
      </c>
      <c r="C25" s="1" t="n">
        <v>45800</v>
      </c>
      <c r="D25" t="inlineStr">
        <is>
          <t>SKÅNE LÄN</t>
        </is>
      </c>
      <c r="E25" t="inlineStr">
        <is>
          <t>SVEDALA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35912-2020</t>
        </is>
      </c>
      <c r="B26" s="1" t="n">
        <v>44047</v>
      </c>
      <c r="C26" s="1" t="n">
        <v>45800</v>
      </c>
      <c r="D26" t="inlineStr">
        <is>
          <t>SKÅNE LÄN</t>
        </is>
      </c>
      <c r="E26" t="inlineStr">
        <is>
          <t>SVEDALA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62300-2020</t>
        </is>
      </c>
      <c r="B27" s="1" t="n">
        <v>44158</v>
      </c>
      <c r="C27" s="1" t="n">
        <v>45800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67778-2020</t>
        </is>
      </c>
      <c r="B28" s="1" t="n">
        <v>44182</v>
      </c>
      <c r="C28" s="1" t="n">
        <v>45800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18491-2021</t>
        </is>
      </c>
      <c r="B29" s="1" t="n">
        <v>44306</v>
      </c>
      <c r="C29" s="1" t="n">
        <v>45800</v>
      </c>
      <c r="D29" t="inlineStr">
        <is>
          <t>SKÅNE LÄN</t>
        </is>
      </c>
      <c r="E29" t="inlineStr">
        <is>
          <t>SVEDALA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31393-2021</t>
        </is>
      </c>
      <c r="B30" s="1" t="n">
        <v>44368</v>
      </c>
      <c r="C30" s="1" t="n">
        <v>45800</v>
      </c>
      <c r="D30" t="inlineStr">
        <is>
          <t>SKÅNE LÄN</t>
        </is>
      </c>
      <c r="E30" t="inlineStr">
        <is>
          <t>SVEDALA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67456-2021</t>
        </is>
      </c>
      <c r="B31" s="1" t="n">
        <v>44524</v>
      </c>
      <c r="C31" s="1" t="n">
        <v>45800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21072-2022</t>
        </is>
      </c>
      <c r="B32" s="1" t="n">
        <v>44704</v>
      </c>
      <c r="C32" s="1" t="n">
        <v>45800</v>
      </c>
      <c r="D32" t="inlineStr">
        <is>
          <t>SKÅNE LÄN</t>
        </is>
      </c>
      <c r="E32" t="inlineStr">
        <is>
          <t>SVEDALA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27112-2022</t>
        </is>
      </c>
      <c r="B33" s="1" t="n">
        <v>44741</v>
      </c>
      <c r="C33" s="1" t="n">
        <v>45800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27113-2022</t>
        </is>
      </c>
      <c r="B34" s="1" t="n">
        <v>44741</v>
      </c>
      <c r="C34" s="1" t="n">
        <v>45800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27107-2022</t>
        </is>
      </c>
      <c r="B35" s="1" t="n">
        <v>44741</v>
      </c>
      <c r="C35" s="1" t="n">
        <v>45800</v>
      </c>
      <c r="D35" t="inlineStr">
        <is>
          <t>SKÅNE LÄN</t>
        </is>
      </c>
      <c r="E35" t="inlineStr">
        <is>
          <t>SVEDALA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55663-2022</t>
        </is>
      </c>
      <c r="B36" s="1" t="n">
        <v>44883</v>
      </c>
      <c r="C36" s="1" t="n">
        <v>45800</v>
      </c>
      <c r="D36" t="inlineStr">
        <is>
          <t>SKÅNE LÄN</t>
        </is>
      </c>
      <c r="E36" t="inlineStr">
        <is>
          <t>SVEDALA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57803-2022</t>
        </is>
      </c>
      <c r="B37" s="1" t="n">
        <v>44897</v>
      </c>
      <c r="C37" s="1" t="n">
        <v>45800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57798-2022</t>
        </is>
      </c>
      <c r="B38" s="1" t="n">
        <v>44897</v>
      </c>
      <c r="C38" s="1" t="n">
        <v>45800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59432-2022</t>
        </is>
      </c>
      <c r="B39" s="1" t="n">
        <v>44907</v>
      </c>
      <c r="C39" s="1" t="n">
        <v>45800</v>
      </c>
      <c r="D39" t="inlineStr">
        <is>
          <t>SKÅNE LÄN</t>
        </is>
      </c>
      <c r="E39" t="inlineStr">
        <is>
          <t>SVEDALA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13344-2023</t>
        </is>
      </c>
      <c r="B40" s="1" t="n">
        <v>45005</v>
      </c>
      <c r="C40" s="1" t="n">
        <v>45800</v>
      </c>
      <c r="D40" t="inlineStr">
        <is>
          <t>SKÅNE LÄN</t>
        </is>
      </c>
      <c r="E40" t="inlineStr">
        <is>
          <t>SVEDALA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45800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45800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45800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45800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45800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45800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45800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45800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45800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45800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45800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45800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45800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45800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45800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45800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45800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45800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45800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45800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45800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45800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45800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45800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45800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45800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45800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45800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45800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2408-2025</t>
        </is>
      </c>
      <c r="B70" s="1" t="n">
        <v>45674</v>
      </c>
      <c r="C70" s="1" t="n">
        <v>45800</v>
      </c>
      <c r="D70" t="inlineStr">
        <is>
          <t>SKÅNE LÄN</t>
        </is>
      </c>
      <c r="E70" t="inlineStr">
        <is>
          <t>SVEDALA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2415-2025</t>
        </is>
      </c>
      <c r="B71" s="1" t="n">
        <v>45674</v>
      </c>
      <c r="C71" s="1" t="n">
        <v>45800</v>
      </c>
      <c r="D71" t="inlineStr">
        <is>
          <t>SKÅNE LÄN</t>
        </is>
      </c>
      <c r="E71" t="inlineStr">
        <is>
          <t>SVEDALA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9277-2025</t>
        </is>
      </c>
      <c r="B72" s="1" t="n">
        <v>45714</v>
      </c>
      <c r="C72" s="1" t="n">
        <v>45800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12953-2025</t>
        </is>
      </c>
      <c r="B73" s="1" t="n">
        <v>45734</v>
      </c>
      <c r="C73" s="1" t="n">
        <v>45800</v>
      </c>
      <c r="D73" t="inlineStr">
        <is>
          <t>SKÅNE LÄN</t>
        </is>
      </c>
      <c r="E73" t="inlineStr">
        <is>
          <t>SVEDALA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2025-05-23T18:06:20Z</dcterms:created>
  <dcterms:modified xmlns:dcterms="http://purl.org/dc/terms/" xmlns:xsi="http://www.w3.org/2001/XMLSchema-instance" xsi:type="dcterms:W3CDTF">2025-05-23T18:06:20Z</dcterms:modified>
</cp:coreProperties>
</file>