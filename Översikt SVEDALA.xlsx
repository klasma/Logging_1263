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46293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46293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46293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46293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46293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46293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46293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46293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46293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46293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46293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46293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46293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46293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46293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46293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46293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46293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46293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46293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46293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38846-2026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46286</v>
      </c>
      <c r="E23" s="1" t="n">
        <v>46293</v>
      </c>
      <c r="F23" t="inlineStr">
        <is>
          <t>SKÅNE LÄN</t>
        </is>
      </c>
      <c r="G23" t="inlineStr">
        <is>
          <t>SVEDALA</t>
        </is>
      </c>
      <c r="I23" t="n">
        <v>0.9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Buskvicker</t>
        </is>
      </c>
      <c r="W23">
        <f>HYPERLINK("https://klasma.github.io/Logging_1263/artfynd/A 38846-2026 artfynd.xlsx", "A 38846-2026")</f>
        <v/>
      </c>
      <c r="X23">
        <f>HYPERLINK("https://klasma.github.io/Logging_1263/kartor/A 38846-2026 karta.png", "A 38846-2026")</f>
        <v/>
      </c>
      <c r="Y23">
        <f>HYPERLINK("https://klasma.github.io/Logging_1263/kartor_geotiff/A 38846-2026 georefererad karta.tif", "A 38846-2026")</f>
        <v/>
      </c>
      <c r="AA23">
        <f>HYPERLINK("https://klasma.github.io/Logging_1263/klagomål/A 38846-2026 FSC-klagomål.docx", "A 38846-2026")</f>
        <v/>
      </c>
      <c r="AB23">
        <f>HYPERLINK("https://klasma.github.io/Logging_1263/klagomålsmail/A 38846-2026 FSC-klagomål mail.docx", "A 38846-2026")</f>
        <v/>
      </c>
      <c r="AC23">
        <f>HYPERLINK("https://klasma.github.io/Logging_1263/tillsyn/A 38846-2026 tillsynsbegäran.docx", "A 38846-2026")</f>
        <v/>
      </c>
      <c r="AD23">
        <f>HYPERLINK("https://klasma.github.io/Logging_1263/tillsynsmail/A 38846-2026 tillsynsbegäran mail.docx", "A 38846-2026")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46293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16684-2023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45030</v>
      </c>
      <c r="E25" s="1" t="n">
        <v>46293</v>
      </c>
      <c r="F25" t="inlineStr">
        <is>
          <t>SKÅNE LÄN</t>
        </is>
      </c>
      <c r="G25" t="inlineStr">
        <is>
          <t>SVEDALA</t>
        </is>
      </c>
      <c r="I25" t="n">
        <v>6.1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Större grynsnäcka</t>
        </is>
      </c>
      <c r="W25">
        <f>HYPERLINK("https://klasma.github.io/Logging_1263/artfynd/A 16684-2023 artfynd.xlsx", "A 16684-2023")</f>
        <v/>
      </c>
      <c r="X25">
        <f>HYPERLINK("https://klasma.github.io/Logging_1263/kartor/A 16684-2023 karta.png", "A 16684-2023")</f>
        <v/>
      </c>
      <c r="Y25">
        <f>HYPERLINK("https://klasma.github.io/Logging_1263/kartor_geotiff/A 16684-2023 georefererad karta.tif", "A 16684-2023")</f>
        <v/>
      </c>
      <c r="AA25">
        <f>HYPERLINK("https://klasma.github.io/Logging_1263/klagomål/A 16684-2023 FSC-klagomål.docx", "A 16684-2023")</f>
        <v/>
      </c>
      <c r="AB25">
        <f>HYPERLINK("https://klasma.github.io/Logging_1263/klagomålsmail/A 16684-2023 FSC-klagomål mail.docx", "A 16684-2023")</f>
        <v/>
      </c>
      <c r="AC25">
        <f>HYPERLINK("https://klasma.github.io/Logging_1263/tillsyn/A 16684-2023 tillsynsbegäran.docx", "A 16684-2023")</f>
        <v/>
      </c>
      <c r="AD25">
        <f>HYPERLINK("https://klasma.github.io/Logging_1263/tillsynsmail/A 16684-2023 tillsynsbegäran mail.docx", "A 16684-2023")</f>
        <v/>
      </c>
    </row>
    <row r="26" ht="15" customHeight="1">
      <c r="A26" t="inlineStr">
        <is>
          <t>A 15571-2024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45401</v>
      </c>
      <c r="E26" s="1" t="n">
        <v>46293</v>
      </c>
      <c r="F26" t="inlineStr">
        <is>
          <t>SKÅNE LÄN</t>
        </is>
      </c>
      <c r="G26" t="inlineStr">
        <is>
          <t>SVEDALA</t>
        </is>
      </c>
      <c r="I26" t="n">
        <v>11.1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skogssnigel</t>
        </is>
      </c>
      <c r="W26">
        <f>HYPERLINK("https://klasma.github.io/Logging_1263/artfynd/A 15571-2024 artfynd.xlsx", "A 15571-2024")</f>
        <v/>
      </c>
      <c r="X26">
        <f>HYPERLINK("https://klasma.github.io/Logging_1263/kartor/A 15571-2024 karta.png", "A 15571-2024")</f>
        <v/>
      </c>
      <c r="Y26">
        <f>HYPERLINK("https://klasma.github.io/Logging_1263/kartor_geotiff/A 15571-2024 georefererad karta.tif", "A 15571-2024")</f>
        <v/>
      </c>
      <c r="AA26">
        <f>HYPERLINK("https://klasma.github.io/Logging_1263/klagomål/A 15571-2024 FSC-klagomål.docx", "A 15571-2024")</f>
        <v/>
      </c>
      <c r="AB26">
        <f>HYPERLINK("https://klasma.github.io/Logging_1263/klagomålsmail/A 15571-2024 FSC-klagomål mail.docx", "A 15571-2024")</f>
        <v/>
      </c>
      <c r="AC26">
        <f>HYPERLINK("https://klasma.github.io/Logging_1263/tillsyn/A 15571-2024 tillsynsbegäran.docx", "A 15571-2024")</f>
        <v/>
      </c>
      <c r="AD26">
        <f>HYPERLINK("https://klasma.github.io/Logging_1263/tillsynsmail/A 15571-2024 tillsynsbegäran mail.docx", "A 15571-2024")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46293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46293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25603-2024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46293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46293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46021</v>
      </c>
      <c r="E31" s="1" t="n">
        <v>46293</v>
      </c>
      <c r="F31" t="inlineStr">
        <is>
          <t>SKÅNE LÄN</t>
        </is>
      </c>
      <c r="G31" t="inlineStr">
        <is>
          <t>SVEDALA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31693-2023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46293</v>
      </c>
      <c r="F32" t="inlineStr">
        <is>
          <t>SKÅNE LÄN</t>
        </is>
      </c>
      <c r="G32" t="inlineStr">
        <is>
          <t>SVEDALA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13344-2023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45005</v>
      </c>
      <c r="E33" s="1" t="n">
        <v>46293</v>
      </c>
      <c r="F33" t="inlineStr">
        <is>
          <t>SKÅNE LÄN</t>
        </is>
      </c>
      <c r="G33" t="inlineStr">
        <is>
          <t>SVEDALA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67456-2021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46293</v>
      </c>
      <c r="F34" t="inlineStr">
        <is>
          <t>SKÅNE LÄN</t>
        </is>
      </c>
      <c r="G34" t="inlineStr">
        <is>
          <t>SVEDALA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46293</v>
      </c>
      <c r="F35" t="inlineStr">
        <is>
          <t>SKÅNE LÄN</t>
        </is>
      </c>
      <c r="G35" t="inlineStr">
        <is>
          <t>SVEDALA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46293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46293</v>
      </c>
      <c r="F37" t="inlineStr">
        <is>
          <t>SKÅNE LÄN</t>
        </is>
      </c>
      <c r="G37" t="inlineStr">
        <is>
          <t>SVEDALA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46293</v>
      </c>
      <c r="F38" t="inlineStr">
        <is>
          <t>SKÅNE LÄN</t>
        </is>
      </c>
      <c r="G38" t="inlineStr">
        <is>
          <t>SVEDALA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16690-2023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46293</v>
      </c>
      <c r="F39" t="inlineStr">
        <is>
          <t>SKÅNE LÄN</t>
        </is>
      </c>
      <c r="G39" t="inlineStr">
        <is>
          <t>SVEDALA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59432-2022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44907</v>
      </c>
      <c r="E40" s="1" t="n">
        <v>46293</v>
      </c>
      <c r="F40" t="inlineStr">
        <is>
          <t>SKÅNE LÄN</t>
        </is>
      </c>
      <c r="G40" t="inlineStr">
        <is>
          <t>SVEDALA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46293</v>
      </c>
      <c r="F41" t="inlineStr">
        <is>
          <t>SKÅNE LÄN</t>
        </is>
      </c>
      <c r="G41" t="inlineStr">
        <is>
          <t>SVEDALA</t>
        </is>
      </c>
      <c r="I41" t="n">
        <v>8.9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57803-2022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44897</v>
      </c>
      <c r="E42" s="1" t="n">
        <v>46293</v>
      </c>
      <c r="F42" t="inlineStr">
        <is>
          <t>SKÅNE LÄN</t>
        </is>
      </c>
      <c r="G42" t="inlineStr">
        <is>
          <t>SVEDALA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46293</v>
      </c>
      <c r="F43" t="inlineStr">
        <is>
          <t>SKÅNE LÄN</t>
        </is>
      </c>
      <c r="G43" t="inlineStr">
        <is>
          <t>SVEDALA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19190-2023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45048</v>
      </c>
      <c r="E44" s="1" t="n">
        <v>46293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16199-2024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45406</v>
      </c>
      <c r="E45" s="1" t="n">
        <v>46293</v>
      </c>
      <c r="F45" t="inlineStr">
        <is>
          <t>SKÅNE LÄN</t>
        </is>
      </c>
      <c r="G45" t="inlineStr">
        <is>
          <t>SVEDALA</t>
        </is>
      </c>
      <c r="I45" t="n">
        <v>13.5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46293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45950</v>
      </c>
      <c r="E47" s="1" t="n">
        <v>46293</v>
      </c>
      <c r="F47" t="inlineStr">
        <is>
          <t>SKÅNE LÄN</t>
        </is>
      </c>
      <c r="G47" t="inlineStr">
        <is>
          <t>SVEDALA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27844-2026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46191</v>
      </c>
      <c r="E48" s="1" t="n">
        <v>46293</v>
      </c>
      <c r="F48" t="inlineStr">
        <is>
          <t>SKÅNE LÄN</t>
        </is>
      </c>
      <c r="G48" t="inlineStr">
        <is>
          <t>SVEDALA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46293</v>
      </c>
      <c r="F49" t="inlineStr">
        <is>
          <t>SKÅNE LÄN</t>
        </is>
      </c>
      <c r="G49" t="inlineStr">
        <is>
          <t>SVEDALA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46293</v>
      </c>
      <c r="F50" t="inlineStr">
        <is>
          <t>SKÅNE LÄN</t>
        </is>
      </c>
      <c r="G50" t="inlineStr">
        <is>
          <t>SVEDALA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56202-2023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46293</v>
      </c>
      <c r="F51" t="inlineStr">
        <is>
          <t>SKÅNE LÄN</t>
        </is>
      </c>
      <c r="G51" t="inlineStr">
        <is>
          <t>SVEDALA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46293</v>
      </c>
      <c r="F52" t="inlineStr">
        <is>
          <t>SKÅNE LÄN</t>
        </is>
      </c>
      <c r="G52" t="inlineStr">
        <is>
          <t>SVEDALA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46286</v>
      </c>
      <c r="E53" s="1" t="n">
        <v>46293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46293</v>
      </c>
      <c r="F54" t="inlineStr">
        <is>
          <t>SKÅNE LÄN</t>
        </is>
      </c>
      <c r="G54" t="inlineStr">
        <is>
          <t>SVEDALA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46286</v>
      </c>
      <c r="E55" s="1" t="n">
        <v>46293</v>
      </c>
      <c r="F55" t="inlineStr">
        <is>
          <t>SKÅNE LÄN</t>
        </is>
      </c>
      <c r="G55" t="inlineStr">
        <is>
          <t>SVEDALA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38847-2026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46286</v>
      </c>
      <c r="E56" s="1" t="n">
        <v>46293</v>
      </c>
      <c r="F56" t="inlineStr">
        <is>
          <t>SKÅNE LÄN</t>
        </is>
      </c>
      <c r="G56" t="inlineStr">
        <is>
          <t>SVEDALA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15277-2024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45400</v>
      </c>
      <c r="E57" s="1" t="n">
        <v>46293</v>
      </c>
      <c r="F57" t="inlineStr">
        <is>
          <t>SKÅNE LÄN</t>
        </is>
      </c>
      <c r="G57" t="inlineStr">
        <is>
          <t>SVEDALA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46293</v>
      </c>
      <c r="F58" t="inlineStr">
        <is>
          <t>SKÅNE LÄN</t>
        </is>
      </c>
      <c r="G58" t="inlineStr">
        <is>
          <t>SVEDALA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46293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44741</v>
      </c>
      <c r="E60" s="1" t="n">
        <v>46293</v>
      </c>
      <c r="F60" t="inlineStr">
        <is>
          <t>SKÅNE LÄN</t>
        </is>
      </c>
      <c r="G60" t="inlineStr">
        <is>
          <t>SVEDALA</t>
        </is>
      </c>
      <c r="I60" t="n">
        <v>8.9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26073-2026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46181</v>
      </c>
      <c r="E61" s="1" t="n">
        <v>46293</v>
      </c>
      <c r="F61" t="inlineStr">
        <is>
          <t>SKÅNE LÄN</t>
        </is>
      </c>
      <c r="G61" t="inlineStr">
        <is>
          <t>SVEDALA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46293</v>
      </c>
      <c r="F62" t="inlineStr">
        <is>
          <t>SKÅNE LÄN</t>
        </is>
      </c>
      <c r="G62" t="inlineStr">
        <is>
          <t>SVEDALA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29030-2023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46293</v>
      </c>
      <c r="F63" t="inlineStr">
        <is>
          <t>SKÅNE LÄN</t>
        </is>
      </c>
      <c r="G63" t="inlineStr">
        <is>
          <t>SVEDALA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46293</v>
      </c>
      <c r="F64" t="inlineStr">
        <is>
          <t>SKÅNE LÄN</t>
        </is>
      </c>
      <c r="G64" t="inlineStr">
        <is>
          <t>SVEDALA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18888-2024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45427</v>
      </c>
      <c r="E65" s="1" t="n">
        <v>46293</v>
      </c>
      <c r="F65" t="inlineStr">
        <is>
          <t>SKÅNE LÄN</t>
        </is>
      </c>
      <c r="G65" t="inlineStr">
        <is>
          <t>SVEDALA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46293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46293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2026-09-28T01:59:31Z</dcterms:created>
  <dcterms:modified xmlns:dcterms="http://purl.org/dc/terms/" xmlns:xsi="http://www.w3.org/2001/XMLSchema-instance" xsi:type="dcterms:W3CDTF">2026-09-28T01:59:31Z</dcterms:modified>
</cp:coreProperties>
</file>