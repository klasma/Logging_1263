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46237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46237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46237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46237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46237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46237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46237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46237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46237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31697-2023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46237</v>
      </c>
      <c r="F11" t="inlineStr">
        <is>
          <t>SKÅNE LÄN</t>
        </is>
      </c>
      <c r="G11" t="inlineStr">
        <is>
          <t>SVEDALA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Lövgroda
Större vattensalamander</t>
        </is>
      </c>
      <c r="W11">
        <f>HYPERLINK("https://klasma.github.io/Logging_1263/artfynd/A 31697-2023 artfynd.xlsx", "A 31697-2023")</f>
        <v/>
      </c>
      <c r="X11">
        <f>HYPERLINK("https://klasma.github.io/Logging_1263/kartor/A 31697-2023 karta.png", "A 31697-2023")</f>
        <v/>
      </c>
      <c r="Y11">
        <f>HYPERLINK("https://klasma.github.io/Logging_1263/kartor_geotiff/A 31697-2023 georefererad karta.tif", "A 31697-2023")</f>
        <v/>
      </c>
      <c r="AA11">
        <f>HYPERLINK("https://klasma.github.io/Logging_1263/klagomål/A 31697-2023 FSC-klagomål.docx", "A 31697-2023")</f>
        <v/>
      </c>
      <c r="AB11">
        <f>HYPERLINK("https://klasma.github.io/Logging_1263/klagomålsmail/A 31697-2023 FSC-klagomål mail.docx", "A 31697-2023")</f>
        <v/>
      </c>
      <c r="AC11">
        <f>HYPERLINK("https://klasma.github.io/Logging_1263/tillsyn/A 31697-2023 tillsynsbegäran.docx", "A 31697-2023")</f>
        <v/>
      </c>
      <c r="AD11">
        <f>HYPERLINK("https://klasma.github.io/Logging_1263/tillsynsmail/A 31697-2023 tillsynsbegäran mail.docx", "A 31697-2023")</f>
        <v/>
      </c>
    </row>
    <row r="12" ht="15" customHeight="1">
      <c r="A12" t="inlineStr">
        <is>
          <t>A 15565-2024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45401</v>
      </c>
      <c r="E12" s="1" t="n">
        <v>46237</v>
      </c>
      <c r="F12" t="inlineStr">
        <is>
          <t>SKÅNE LÄN</t>
        </is>
      </c>
      <c r="G12" t="inlineStr">
        <is>
          <t>SVEDALA</t>
        </is>
      </c>
      <c r="I12" t="n">
        <v>7</v>
      </c>
      <c r="J12" t="n">
        <v>0</v>
      </c>
      <c r="K12" t="n">
        <v>0</v>
      </c>
      <c r="L12" t="n">
        <v>0</v>
      </c>
      <c r="M12" t="n">
        <v>1</v>
      </c>
      <c r="N12" t="n">
        <v>1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2</v>
      </c>
      <c r="V12" s="2" t="inlineStr">
        <is>
          <t>Skogsalm
Igelkott</t>
        </is>
      </c>
      <c r="W12">
        <f>HYPERLINK("https://klasma.github.io/Logging_1263/artfynd/A 15565-2024 artfynd.xlsx", "A 15565-2024")</f>
        <v/>
      </c>
      <c r="X12">
        <f>HYPERLINK("https://klasma.github.io/Logging_1263/kartor/A 15565-2024 karta.png", "A 15565-2024")</f>
        <v/>
      </c>
      <c r="Y12">
        <f>HYPERLINK("https://klasma.github.io/Logging_1263/kartor_geotiff/A 15565-2024 georefererad karta.tif", "A 15565-2024")</f>
        <v/>
      </c>
      <c r="AA12">
        <f>HYPERLINK("https://klasma.github.io/Logging_1263/klagomål/A 15565-2024 FSC-klagomål.docx", "A 15565-2024")</f>
        <v/>
      </c>
      <c r="AB12">
        <f>HYPERLINK("https://klasma.github.io/Logging_1263/klagomålsmail/A 15565-2024 FSC-klagomål mail.docx", "A 15565-2024")</f>
        <v/>
      </c>
      <c r="AC12">
        <f>HYPERLINK("https://klasma.github.io/Logging_1263/tillsyn/A 15565-2024 tillsynsbegäran.docx", "A 15565-2024")</f>
        <v/>
      </c>
      <c r="AD12">
        <f>HYPERLINK("https://klasma.github.io/Logging_1263/tillsynsmail/A 15565-2024 tillsynsbegäran mail.docx", "A 15565-2024")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46237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25022-2026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46174</v>
      </c>
      <c r="E14" s="1" t="n">
        <v>46237</v>
      </c>
      <c r="F14" t="inlineStr">
        <is>
          <t>SKÅNE LÄN</t>
        </is>
      </c>
      <c r="G14" t="inlineStr">
        <is>
          <t>SVEDALA</t>
        </is>
      </c>
      <c r="I14" t="n">
        <v>4.2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Mindre tåtelsmygare
Skogsknipprot</t>
        </is>
      </c>
      <c r="W14">
        <f>HYPERLINK("https://klasma.github.io/Logging_1263/artfynd/A 25022-2026 artfynd.xlsx", "A 25022-2026")</f>
        <v/>
      </c>
      <c r="X14">
        <f>HYPERLINK("https://klasma.github.io/Logging_1263/kartor/A 25022-2026 karta.png", "A 25022-2026")</f>
        <v/>
      </c>
      <c r="Y14">
        <f>HYPERLINK("https://klasma.github.io/Logging_1263/kartor_geotiff/A 25022-2026 georefererad karta.tif", "A 25022-2026")</f>
        <v/>
      </c>
      <c r="AA14">
        <f>HYPERLINK("https://klasma.github.io/Logging_1263/klagomål/A 25022-2026 FSC-klagomål.docx", "A 25022-2026")</f>
        <v/>
      </c>
      <c r="AB14">
        <f>HYPERLINK("https://klasma.github.io/Logging_1263/klagomålsmail/A 25022-2026 FSC-klagomål mail.docx", "A 25022-2026")</f>
        <v/>
      </c>
      <c r="AC14">
        <f>HYPERLINK("https://klasma.github.io/Logging_1263/tillsyn/A 25022-2026 tillsynsbegäran.docx", "A 25022-2026")</f>
        <v/>
      </c>
      <c r="AD14">
        <f>HYPERLINK("https://klasma.github.io/Logging_1263/tillsynsmail/A 25022-2026 tillsynsbegäran mail.docx", "A 25022-2026")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46237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38011-2023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45160</v>
      </c>
      <c r="E16" s="1" t="n">
        <v>46237</v>
      </c>
      <c r="F16" t="inlineStr">
        <is>
          <t>SKÅNE LÄN</t>
        </is>
      </c>
      <c r="G16" t="inlineStr">
        <is>
          <t>SVEDALA</t>
        </is>
      </c>
      <c r="I16" t="n">
        <v>2.8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Lökgroda
Skogsknipprot</t>
        </is>
      </c>
      <c r="W16">
        <f>HYPERLINK("https://klasma.github.io/Logging_1263/artfynd/A 38011-2023 artfynd.xlsx", "A 38011-2023")</f>
        <v/>
      </c>
      <c r="X16">
        <f>HYPERLINK("https://klasma.github.io/Logging_1263/kartor/A 38011-2023 karta.png", "A 38011-2023")</f>
        <v/>
      </c>
      <c r="Y16">
        <f>HYPERLINK("https://klasma.github.io/Logging_1263/kartor_geotiff/A 38011-2023 georefererad karta.tif", "A 38011-2023")</f>
        <v/>
      </c>
      <c r="AA16">
        <f>HYPERLINK("https://klasma.github.io/Logging_1263/klagomål/A 38011-2023 FSC-klagomål.docx", "A 38011-2023")</f>
        <v/>
      </c>
      <c r="AB16">
        <f>HYPERLINK("https://klasma.github.io/Logging_1263/klagomålsmail/A 38011-2023 FSC-klagomål mail.docx", "A 38011-2023")</f>
        <v/>
      </c>
      <c r="AC16">
        <f>HYPERLINK("https://klasma.github.io/Logging_1263/tillsyn/A 38011-2023 tillsynsbegäran.docx", "A 38011-2023")</f>
        <v/>
      </c>
      <c r="AD16">
        <f>HYPERLINK("https://klasma.github.io/Logging_1263/tillsynsmail/A 38011-2023 tillsynsbegäran mail.docx", "A 38011-2023")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46237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46237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46237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46237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46237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46237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46237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46237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46237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46237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15277-2024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45400</v>
      </c>
      <c r="E27" s="1" t="n">
        <v>46237</v>
      </c>
      <c r="F27" t="inlineStr">
        <is>
          <t>SKÅNE LÄN</t>
        </is>
      </c>
      <c r="G27" t="inlineStr">
        <is>
          <t>SVEDALA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46237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46237</v>
      </c>
      <c r="F29" t="inlineStr">
        <is>
          <t>SKÅNE LÄN</t>
        </is>
      </c>
      <c r="G29" t="inlineStr">
        <is>
          <t>SVEDALA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13344-2023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45005</v>
      </c>
      <c r="E30" s="1" t="n">
        <v>46237</v>
      </c>
      <c r="F30" t="inlineStr">
        <is>
          <t>SKÅNE LÄN</t>
        </is>
      </c>
      <c r="G30" t="inlineStr">
        <is>
          <t>SVEDALA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27113-2022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46237</v>
      </c>
      <c r="F31" t="inlineStr">
        <is>
          <t>SKÅNE LÄN</t>
        </is>
      </c>
      <c r="G31" t="inlineStr">
        <is>
          <t>SVEDALA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46237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46237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46237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31701-2023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46237</v>
      </c>
      <c r="F35" t="inlineStr">
        <is>
          <t>SKÅNE LÄN</t>
        </is>
      </c>
      <c r="G35" t="inlineStr">
        <is>
          <t>SVEDALA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59432-2022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44907</v>
      </c>
      <c r="E36" s="1" t="n">
        <v>46237</v>
      </c>
      <c r="F36" t="inlineStr">
        <is>
          <t>SKÅNE LÄN</t>
        </is>
      </c>
      <c r="G36" t="inlineStr">
        <is>
          <t>SVEDALA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46237</v>
      </c>
      <c r="F37" t="inlineStr">
        <is>
          <t>SKÅNE LÄN</t>
        </is>
      </c>
      <c r="G37" t="inlineStr">
        <is>
          <t>SVEDALA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46237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15577-2024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46237</v>
      </c>
      <c r="F39" t="inlineStr">
        <is>
          <t>SKÅNE LÄN</t>
        </is>
      </c>
      <c r="G39" t="inlineStr">
        <is>
          <t>SVEDALA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29030-2023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45104</v>
      </c>
      <c r="E40" s="1" t="n">
        <v>46237</v>
      </c>
      <c r="F40" t="inlineStr">
        <is>
          <t>SKÅNE LÄN</t>
        </is>
      </c>
      <c r="G40" t="inlineStr">
        <is>
          <t>SVEDALA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46237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19190-2023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45048</v>
      </c>
      <c r="E42" s="1" t="n">
        <v>46237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46237</v>
      </c>
      <c r="F43" t="inlineStr">
        <is>
          <t>SKÅNE LÄN</t>
        </is>
      </c>
      <c r="G43" t="inlineStr">
        <is>
          <t>SVEDALA</t>
        </is>
      </c>
      <c r="I43" t="n">
        <v>13.5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46237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46237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46237</v>
      </c>
      <c r="F46" t="inlineStr">
        <is>
          <t>SKÅNE LÄN</t>
        </is>
      </c>
      <c r="G46" t="inlineStr">
        <is>
          <t>SVEDALA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25275-2026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46176</v>
      </c>
      <c r="E47" s="1" t="n">
        <v>46237</v>
      </c>
      <c r="F47" t="inlineStr">
        <is>
          <t>SKÅNE LÄN</t>
        </is>
      </c>
      <c r="G47" t="inlineStr">
        <is>
          <t>SVEDALA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46237</v>
      </c>
      <c r="F48" t="inlineStr">
        <is>
          <t>SKÅNE LÄN</t>
        </is>
      </c>
      <c r="G48" t="inlineStr">
        <is>
          <t>SVEDALA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46237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46237</v>
      </c>
      <c r="F50" t="inlineStr">
        <is>
          <t>SKÅNE LÄN</t>
        </is>
      </c>
      <c r="G50" t="inlineStr">
        <is>
          <t>SVEDALA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46237</v>
      </c>
      <c r="F51" t="inlineStr">
        <is>
          <t>SKÅNE LÄN</t>
        </is>
      </c>
      <c r="G51" t="inlineStr">
        <is>
          <t>SVEDALA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64055-2025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46021</v>
      </c>
      <c r="E52" s="1" t="n">
        <v>46237</v>
      </c>
      <c r="F52" t="inlineStr">
        <is>
          <t>SKÅNE LÄN</t>
        </is>
      </c>
      <c r="G52" t="inlineStr">
        <is>
          <t>SVEDALA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64058-2025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46021</v>
      </c>
      <c r="E53" s="1" t="n">
        <v>46237</v>
      </c>
      <c r="F53" t="inlineStr">
        <is>
          <t>SKÅNE LÄN</t>
        </is>
      </c>
      <c r="G53" t="inlineStr">
        <is>
          <t>SVEDALA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27844-2026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46191</v>
      </c>
      <c r="E54" s="1" t="n">
        <v>46237</v>
      </c>
      <c r="F54" t="inlineStr">
        <is>
          <t>SKÅNE LÄN</t>
        </is>
      </c>
      <c r="G54" t="inlineStr">
        <is>
          <t>SVEDALA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46237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46237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56202-2023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45240</v>
      </c>
      <c r="E57" s="1" t="n">
        <v>46237</v>
      </c>
      <c r="F57" t="inlineStr">
        <is>
          <t>SKÅNE LÄN</t>
        </is>
      </c>
      <c r="G57" t="inlineStr">
        <is>
          <t>SVEDALA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46237</v>
      </c>
      <c r="F58" t="inlineStr">
        <is>
          <t>SKÅNE LÄN</t>
        </is>
      </c>
      <c r="G58" t="inlineStr">
        <is>
          <t>SVEDALA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46237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46237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46237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2026-08-03T01:56:15Z</dcterms:created>
  <dcterms:modified xmlns:dcterms="http://purl.org/dc/terms/" xmlns:xsi="http://www.w3.org/2001/XMLSchema-instance" xsi:type="dcterms:W3CDTF">2026-08-03T01:56:15Z</dcterms:modified>
</cp:coreProperties>
</file>