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45697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45697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45697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45697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45697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45697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45697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45697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45697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45697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45697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45697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45697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45697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45697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45697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2482-2025</t>
        </is>
      </c>
      <c r="B18" s="1" t="n">
        <v>45674</v>
      </c>
      <c r="C18" s="1" t="n">
        <v>45697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Korallticka</t>
        </is>
      </c>
      <c r="S18">
        <f>HYPERLINK("https://klasma.github.io/Logging_1263/artfynd/A 2482-2025 artfynd.xlsx", "A 2482-2025")</f>
        <v/>
      </c>
      <c r="T18">
        <f>HYPERLINK("https://klasma.github.io/Logging_1263/kartor/A 2482-2025 karta.png", "A 2482-2025")</f>
        <v/>
      </c>
      <c r="V18">
        <f>HYPERLINK("https://klasma.github.io/Logging_1263/klagomål/A 2482-2025 FSC-klagomål.docx", "A 2482-2025")</f>
        <v/>
      </c>
      <c r="W18">
        <f>HYPERLINK("https://klasma.github.io/Logging_1263/klagomålsmail/A 2482-2025 FSC-klagomål mail.docx", "A 2482-2025")</f>
        <v/>
      </c>
      <c r="X18">
        <f>HYPERLINK("https://klasma.github.io/Logging_1263/tillsyn/A 2482-2025 tillsynsbegäran.docx", "A 2482-2025")</f>
        <v/>
      </c>
      <c r="Y18">
        <f>HYPERLINK("https://klasma.github.io/Logging_1263/tillsynsmail/A 2482-2025 tillsynsbegäran mail.docx", "A 2482-2025")</f>
        <v/>
      </c>
    </row>
    <row r="19" ht="15" customHeight="1">
      <c r="A19" t="inlineStr">
        <is>
          <t>A 31951-2019</t>
        </is>
      </c>
      <c r="B19" s="1" t="n">
        <v>43642</v>
      </c>
      <c r="C19" s="1" t="n">
        <v>45697</v>
      </c>
      <c r="D19" t="inlineStr">
        <is>
          <t>SKÅNE LÄN</t>
        </is>
      </c>
      <c r="E19" t="inlineStr">
        <is>
          <t>SVEDALA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31948-2019</t>
        </is>
      </c>
      <c r="B20" s="1" t="n">
        <v>43642</v>
      </c>
      <c r="C20" s="1" t="n">
        <v>45697</v>
      </c>
      <c r="D20" t="inlineStr">
        <is>
          <t>SKÅNE LÄN</t>
        </is>
      </c>
      <c r="E20" t="inlineStr">
        <is>
          <t>SVEDALA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33240-2019</t>
        </is>
      </c>
      <c r="B21" s="1" t="n">
        <v>43644</v>
      </c>
      <c r="C21" s="1" t="n">
        <v>45697</v>
      </c>
      <c r="D21" t="inlineStr">
        <is>
          <t>SKÅNE LÄN</t>
        </is>
      </c>
      <c r="E21" t="inlineStr">
        <is>
          <t>SVEDALA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46216-2019</t>
        </is>
      </c>
      <c r="B22" s="1" t="n">
        <v>43713</v>
      </c>
      <c r="C22" s="1" t="n">
        <v>45697</v>
      </c>
      <c r="D22" t="inlineStr">
        <is>
          <t>SKÅNE LÄN</t>
        </is>
      </c>
      <c r="E22" t="inlineStr">
        <is>
          <t>SVEDALA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56856-2019</t>
        </is>
      </c>
      <c r="B23" s="1" t="n">
        <v>43766</v>
      </c>
      <c r="C23" s="1" t="n">
        <v>45697</v>
      </c>
      <c r="D23" t="inlineStr">
        <is>
          <t>SKÅNE LÄN</t>
        </is>
      </c>
      <c r="E23" t="inlineStr">
        <is>
          <t>SVEDALA</t>
        </is>
      </c>
      <c r="F23" t="inlineStr">
        <is>
          <t>Kommuner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18642-2020</t>
        </is>
      </c>
      <c r="B24" s="1" t="n">
        <v>43929</v>
      </c>
      <c r="C24" s="1" t="n">
        <v>45697</v>
      </c>
      <c r="D24" t="inlineStr">
        <is>
          <t>SKÅNE LÄN</t>
        </is>
      </c>
      <c r="E24" t="inlineStr">
        <is>
          <t>SVEDALA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35912-2020</t>
        </is>
      </c>
      <c r="B25" s="1" t="n">
        <v>44047</v>
      </c>
      <c r="C25" s="1" t="n">
        <v>45697</v>
      </c>
      <c r="D25" t="inlineStr">
        <is>
          <t>SKÅNE LÄN</t>
        </is>
      </c>
      <c r="E25" t="inlineStr">
        <is>
          <t>SVEDALA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62300-2020</t>
        </is>
      </c>
      <c r="B26" s="1" t="n">
        <v>44158</v>
      </c>
      <c r="C26" s="1" t="n">
        <v>45697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67778-2020</t>
        </is>
      </c>
      <c r="B27" s="1" t="n">
        <v>44182</v>
      </c>
      <c r="C27" s="1" t="n">
        <v>45697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18491-2021</t>
        </is>
      </c>
      <c r="B28" s="1" t="n">
        <v>44306</v>
      </c>
      <c r="C28" s="1" t="n">
        <v>45697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31393-2021</t>
        </is>
      </c>
      <c r="B29" s="1" t="n">
        <v>44368</v>
      </c>
      <c r="C29" s="1" t="n">
        <v>45697</v>
      </c>
      <c r="D29" t="inlineStr">
        <is>
          <t>SKÅNE LÄN</t>
        </is>
      </c>
      <c r="E29" t="inlineStr">
        <is>
          <t>SVEDALA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45697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21072-2022</t>
        </is>
      </c>
      <c r="B31" s="1" t="n">
        <v>44704</v>
      </c>
      <c r="C31" s="1" t="n">
        <v>45697</v>
      </c>
      <c r="D31" t="inlineStr">
        <is>
          <t>SKÅNE LÄN</t>
        </is>
      </c>
      <c r="E31" t="inlineStr">
        <is>
          <t>SVEDALA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27112-2022</t>
        </is>
      </c>
      <c r="B32" s="1" t="n">
        <v>44741</v>
      </c>
      <c r="C32" s="1" t="n">
        <v>45697</v>
      </c>
      <c r="D32" t="inlineStr">
        <is>
          <t>SKÅNE LÄN</t>
        </is>
      </c>
      <c r="E32" t="inlineStr">
        <is>
          <t>SVEDALA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27113-2022</t>
        </is>
      </c>
      <c r="B33" s="1" t="n">
        <v>44741</v>
      </c>
      <c r="C33" s="1" t="n">
        <v>45697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27107-2022</t>
        </is>
      </c>
      <c r="B34" s="1" t="n">
        <v>44741</v>
      </c>
      <c r="C34" s="1" t="n">
        <v>45697</v>
      </c>
      <c r="D34" t="inlineStr">
        <is>
          <t>SKÅNE LÄN</t>
        </is>
      </c>
      <c r="E34" t="inlineStr">
        <is>
          <t>SVEDALA</t>
        </is>
      </c>
      <c r="G34" t="n">
        <v>10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55663-2022</t>
        </is>
      </c>
      <c r="B35" s="1" t="n">
        <v>44883</v>
      </c>
      <c r="C35" s="1" t="n">
        <v>45697</v>
      </c>
      <c r="D35" t="inlineStr">
        <is>
          <t>SKÅNE LÄN</t>
        </is>
      </c>
      <c r="E35" t="inlineStr">
        <is>
          <t>SVEDALA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57803-2022</t>
        </is>
      </c>
      <c r="B36" s="1" t="n">
        <v>44897</v>
      </c>
      <c r="C36" s="1" t="n">
        <v>45697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45697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59432-2022</t>
        </is>
      </c>
      <c r="B38" s="1" t="n">
        <v>44907</v>
      </c>
      <c r="C38" s="1" t="n">
        <v>45697</v>
      </c>
      <c r="D38" t="inlineStr">
        <is>
          <t>SKÅNE LÄN</t>
        </is>
      </c>
      <c r="E38" t="inlineStr">
        <is>
          <t>SVEDALA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45697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14150-2023</t>
        </is>
      </c>
      <c r="B40" s="1" t="n">
        <v>45009</v>
      </c>
      <c r="C40" s="1" t="n">
        <v>45697</v>
      </c>
      <c r="D40" t="inlineStr">
        <is>
          <t>SKÅNE LÄN</t>
        </is>
      </c>
      <c r="E40" t="inlineStr">
        <is>
          <t>SVEDALA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45697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45697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45697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45697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45697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45697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45697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45697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45697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45697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45697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45697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45697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45697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45697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45697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45697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45697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45697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45697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45697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45697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45697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45697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45697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45697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45697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45697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45697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2415-2025</t>
        </is>
      </c>
      <c r="B70" s="1" t="n">
        <v>45674</v>
      </c>
      <c r="C70" s="1" t="n">
        <v>45697</v>
      </c>
      <c r="D70" t="inlineStr">
        <is>
          <t>SKÅNE LÄN</t>
        </is>
      </c>
      <c r="E70" t="inlineStr">
        <is>
          <t>SVEDALA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2408-2025</t>
        </is>
      </c>
      <c r="B71" s="1" t="n">
        <v>45674</v>
      </c>
      <c r="C71" s="1" t="n">
        <v>45697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2025-02-09T17:15:19Z</dcterms:created>
  <dcterms:modified xmlns:dcterms="http://purl.org/dc/terms/" xmlns:xsi="http://www.w3.org/2001/XMLSchema-instance" xsi:type="dcterms:W3CDTF">2025-02-09T17:15:19Z</dcterms:modified>
</cp:coreProperties>
</file>