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46313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46313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46313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46313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46313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46313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46313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46313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46313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31697-2023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46313</v>
      </c>
      <c r="F11" t="inlineStr">
        <is>
          <t>SKÅNE LÄN</t>
        </is>
      </c>
      <c r="G11" t="inlineStr">
        <is>
          <t>SVEDALA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Lövgroda
Större vattensalamander</t>
        </is>
      </c>
      <c r="W11">
        <f>HYPERLINK("https://klasma.github.io/Logging_1263/artfynd/A 31697-2023 artfynd.xlsx", "A 31697-2023")</f>
        <v/>
      </c>
      <c r="X11">
        <f>HYPERLINK("https://klasma.github.io/Logging_1263/kartor/A 31697-2023 karta.png", "A 31697-2023")</f>
        <v/>
      </c>
      <c r="Y11">
        <f>HYPERLINK("https://klasma.github.io/Logging_1263/kartor_geotiff/A 31697-2023 georefererad karta.tif", "A 31697-2023")</f>
        <v/>
      </c>
      <c r="AA11">
        <f>HYPERLINK("https://klasma.github.io/Logging_1263/klagomål/A 31697-2023 FSC-klagomål.docx", "A 31697-2023")</f>
        <v/>
      </c>
      <c r="AB11">
        <f>HYPERLINK("https://klasma.github.io/Logging_1263/klagomålsmail/A 31697-2023 FSC-klagomål mail.docx", "A 31697-2023")</f>
        <v/>
      </c>
      <c r="AC11">
        <f>HYPERLINK("https://klasma.github.io/Logging_1263/tillsyn/A 31697-2023 tillsynsbegäran.docx", "A 31697-2023")</f>
        <v/>
      </c>
      <c r="AD11">
        <f>HYPERLINK("https://klasma.github.io/Logging_1263/tillsynsmail/A 31697-2023 tillsynsbegäran mail.docx", "A 31697-2023")</f>
        <v/>
      </c>
    </row>
    <row r="12" ht="15" customHeight="1">
      <c r="A12" t="inlineStr">
        <is>
          <t>A 38011-2023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45160</v>
      </c>
      <c r="E12" s="1" t="n">
        <v>46313</v>
      </c>
      <c r="F12" t="inlineStr">
        <is>
          <t>SKÅNE LÄN</t>
        </is>
      </c>
      <c r="G12" t="inlineStr">
        <is>
          <t>SVEDALA</t>
        </is>
      </c>
      <c r="I12" t="n">
        <v>2.8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Lökgroda
Skogsknipprot</t>
        </is>
      </c>
      <c r="W12">
        <f>HYPERLINK("https://klasma.github.io/Logging_1263/artfynd/A 38011-2023 artfynd.xlsx", "A 38011-2023")</f>
        <v/>
      </c>
      <c r="X12">
        <f>HYPERLINK("https://klasma.github.io/Logging_1263/kartor/A 38011-2023 karta.png", "A 38011-2023")</f>
        <v/>
      </c>
      <c r="Y12">
        <f>HYPERLINK("https://klasma.github.io/Logging_1263/kartor_geotiff/A 38011-2023 georefererad karta.tif", "A 38011-2023")</f>
        <v/>
      </c>
      <c r="AA12">
        <f>HYPERLINK("https://klasma.github.io/Logging_1263/klagomål/A 38011-2023 FSC-klagomål.docx", "A 38011-2023")</f>
        <v/>
      </c>
      <c r="AB12">
        <f>HYPERLINK("https://klasma.github.io/Logging_1263/klagomålsmail/A 38011-2023 FSC-klagomål mail.docx", "A 38011-2023")</f>
        <v/>
      </c>
      <c r="AC12">
        <f>HYPERLINK("https://klasma.github.io/Logging_1263/tillsyn/A 38011-2023 tillsynsbegäran.docx", "A 38011-2023")</f>
        <v/>
      </c>
      <c r="AD12">
        <f>HYPERLINK("https://klasma.github.io/Logging_1263/tillsynsmail/A 38011-2023 tillsynsbegäran mail.docx", "A 38011-2023")</f>
        <v/>
      </c>
    </row>
    <row r="13" ht="15" customHeight="1">
      <c r="A13" t="inlineStr">
        <is>
          <t>A 15565-2024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45401</v>
      </c>
      <c r="E13" s="1" t="n">
        <v>46313</v>
      </c>
      <c r="F13" t="inlineStr">
        <is>
          <t>SKÅNE LÄN</t>
        </is>
      </c>
      <c r="G13" t="inlineStr">
        <is>
          <t>SVEDALA</t>
        </is>
      </c>
      <c r="I13" t="n">
        <v>7</v>
      </c>
      <c r="J13" t="n">
        <v>0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2</v>
      </c>
      <c r="T13" t="n">
        <v>4</v>
      </c>
      <c r="U13" t="n">
        <v>2</v>
      </c>
      <c r="V13" s="2" t="inlineStr">
        <is>
          <t>Skogsalm
Igelkott</t>
        </is>
      </c>
      <c r="W13">
        <f>HYPERLINK("https://klasma.github.io/Logging_1263/artfynd/A 15565-2024 artfynd.xlsx", "A 15565-2024")</f>
        <v/>
      </c>
      <c r="X13">
        <f>HYPERLINK("https://klasma.github.io/Logging_1263/kartor/A 15565-2024 karta.png", "A 15565-2024")</f>
        <v/>
      </c>
      <c r="Y13">
        <f>HYPERLINK("https://klasma.github.io/Logging_1263/kartor_geotiff/A 15565-2024 georefererad karta.tif", "A 15565-2024")</f>
        <v/>
      </c>
      <c r="AA13">
        <f>HYPERLINK("https://klasma.github.io/Logging_1263/klagomål/A 15565-2024 FSC-klagomål.docx", "A 15565-2024")</f>
        <v/>
      </c>
      <c r="AB13">
        <f>HYPERLINK("https://klasma.github.io/Logging_1263/klagomålsmail/A 15565-2024 FSC-klagomål mail.docx", "A 15565-2024")</f>
        <v/>
      </c>
      <c r="AC13">
        <f>HYPERLINK("https://klasma.github.io/Logging_1263/tillsyn/A 15565-2024 tillsynsbegäran.docx", "A 15565-2024")</f>
        <v/>
      </c>
      <c r="AD13">
        <f>HYPERLINK("https://klasma.github.io/Logging_1263/tillsynsmail/A 15565-2024 tillsynsbegäran mail.docx", "A 15565-2024")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46313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46313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46313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46313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46313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46313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46313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46313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46313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46313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38846-2026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46286</v>
      </c>
      <c r="E24" s="1" t="n">
        <v>46313</v>
      </c>
      <c r="F24" t="inlineStr">
        <is>
          <t>SKÅNE LÄN</t>
        </is>
      </c>
      <c r="G24" t="inlineStr">
        <is>
          <t>SVEDALA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Buskvicker</t>
        </is>
      </c>
      <c r="W24">
        <f>HYPERLINK("https://klasma.github.io/Logging_1263/artfynd/A 38846-2026 artfynd.xlsx", "A 38846-2026")</f>
        <v/>
      </c>
      <c r="X24">
        <f>HYPERLINK("https://klasma.github.io/Logging_1263/kartor/A 38846-2026 karta.png", "A 38846-2026")</f>
        <v/>
      </c>
      <c r="Y24">
        <f>HYPERLINK("https://klasma.github.io/Logging_1263/kartor_geotiff/A 38846-2026 georefererad karta.tif", "A 38846-2026")</f>
        <v/>
      </c>
      <c r="AA24">
        <f>HYPERLINK("https://klasma.github.io/Logging_1263/klagomål/A 38846-2026 FSC-klagomål.docx", "A 38846-2026")</f>
        <v/>
      </c>
      <c r="AB24">
        <f>HYPERLINK("https://klasma.github.io/Logging_1263/klagomålsmail/A 38846-2026 FSC-klagomål mail.docx", "A 38846-2026")</f>
        <v/>
      </c>
      <c r="AC24">
        <f>HYPERLINK("https://klasma.github.io/Logging_1263/tillsyn/A 38846-2026 tillsynsbegäran.docx", "A 38846-2026")</f>
        <v/>
      </c>
      <c r="AD24">
        <f>HYPERLINK("https://klasma.github.io/Logging_1263/tillsynsmail/A 38846-2026 tillsynsbegäran mail.docx", "A 38846-2026")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46313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46313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A 42218-2026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46306</v>
      </c>
      <c r="E27" s="1" t="n">
        <v>46313</v>
      </c>
      <c r="F27" t="inlineStr">
        <is>
          <t>SKÅNE LÄN</t>
        </is>
      </c>
      <c r="G27" t="inlineStr">
        <is>
          <t>SVEDALA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Buskvicker</t>
        </is>
      </c>
      <c r="W27">
        <f>HYPERLINK("https://klasma.github.io/Logging_1263/artfynd/A 42218-2026 artfynd.xlsx", "A 42218-2026")</f>
        <v/>
      </c>
      <c r="X27">
        <f>HYPERLINK("https://klasma.github.io/Logging_1263/kartor/A 42218-2026 karta.png", "A 42218-2026")</f>
        <v/>
      </c>
      <c r="Y27">
        <f>HYPERLINK("https://klasma.github.io/Logging_1263/kartor_geotiff/A 42218-2026 georefererad karta.tif", "A 42218-2026")</f>
        <v/>
      </c>
      <c r="AA27">
        <f>HYPERLINK("https://klasma.github.io/Logging_1263/klagomål/A 42218-2026 FSC-klagomål.docx", "A 42218-2026")</f>
        <v/>
      </c>
      <c r="AB27">
        <f>HYPERLINK("https://klasma.github.io/Logging_1263/klagomålsmail/A 42218-2026 FSC-klagomål mail.docx", "A 42218-2026")</f>
        <v/>
      </c>
      <c r="AC27">
        <f>HYPERLINK("https://klasma.github.io/Logging_1263/tillsyn/A 42218-2026 tillsynsbegäran.docx", "A 42218-2026")</f>
        <v/>
      </c>
      <c r="AD27">
        <f>HYPERLINK("https://klasma.github.io/Logging_1263/tillsynsmail/A 42218-2026 tillsynsbegäran mail.docx", "A 42218-2026")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46313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46313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46313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31701-2023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46313</v>
      </c>
      <c r="F31" t="inlineStr">
        <is>
          <t>SKÅNE LÄN</t>
        </is>
      </c>
      <c r="G31" t="inlineStr">
        <is>
          <t>SVEDALA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56202-2023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45240</v>
      </c>
      <c r="E32" s="1" t="n">
        <v>46313</v>
      </c>
      <c r="F32" t="inlineStr">
        <is>
          <t>SKÅNE LÄN</t>
        </is>
      </c>
      <c r="G32" t="inlineStr">
        <is>
          <t>SVEDALA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46313</v>
      </c>
      <c r="F33" t="inlineStr">
        <is>
          <t>SKÅNE LÄN</t>
        </is>
      </c>
      <c r="G33" t="inlineStr">
        <is>
          <t>SVEDALA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25603-2024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46313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46313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46313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45232</v>
      </c>
      <c r="E37" s="1" t="n">
        <v>46313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54580-2023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45233</v>
      </c>
      <c r="E38" s="1" t="n">
        <v>46313</v>
      </c>
      <c r="F38" t="inlineStr">
        <is>
          <t>SKÅNE LÄN</t>
        </is>
      </c>
      <c r="G38" t="inlineStr">
        <is>
          <t>SVEDALA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46313</v>
      </c>
      <c r="F39" t="inlineStr">
        <is>
          <t>SKÅNE LÄN</t>
        </is>
      </c>
      <c r="G39" t="inlineStr">
        <is>
          <t>SVEDALA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45950</v>
      </c>
      <c r="E40" s="1" t="n">
        <v>46313</v>
      </c>
      <c r="F40" t="inlineStr">
        <is>
          <t>SKÅNE LÄN</t>
        </is>
      </c>
      <c r="G40" t="inlineStr">
        <is>
          <t>SVEDALA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46313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15277-2024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45400</v>
      </c>
      <c r="E42" s="1" t="n">
        <v>46313</v>
      </c>
      <c r="F42" t="inlineStr">
        <is>
          <t>SKÅNE LÄN</t>
        </is>
      </c>
      <c r="G42" t="inlineStr">
        <is>
          <t>SVEDALA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46313</v>
      </c>
      <c r="F43" t="inlineStr">
        <is>
          <t>SKÅNE LÄN</t>
        </is>
      </c>
      <c r="G43" t="inlineStr">
        <is>
          <t>SVEDALA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46313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46313</v>
      </c>
      <c r="F45" t="inlineStr">
        <is>
          <t>SKÅNE LÄN</t>
        </is>
      </c>
      <c r="G45" t="inlineStr">
        <is>
          <t>SVEDALA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46313</v>
      </c>
      <c r="F46" t="inlineStr">
        <is>
          <t>SKÅNE LÄN</t>
        </is>
      </c>
      <c r="G46" t="inlineStr">
        <is>
          <t>SVEDALA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46313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45117</v>
      </c>
      <c r="E48" s="1" t="n">
        <v>46313</v>
      </c>
      <c r="F48" t="inlineStr">
        <is>
          <t>SKÅNE LÄN</t>
        </is>
      </c>
      <c r="G48" t="inlineStr">
        <is>
          <t>SVEDALA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15577-2024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46313</v>
      </c>
      <c r="F49" t="inlineStr">
        <is>
          <t>SKÅNE LÄN</t>
        </is>
      </c>
      <c r="G49" t="inlineStr">
        <is>
          <t>SVEDALA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46313</v>
      </c>
      <c r="F50" t="inlineStr">
        <is>
          <t>SKÅNE LÄN</t>
        </is>
      </c>
      <c r="G50" t="inlineStr">
        <is>
          <t>SVEDALA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27113-2022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44741</v>
      </c>
      <c r="E51" s="1" t="n">
        <v>46313</v>
      </c>
      <c r="F51" t="inlineStr">
        <is>
          <t>SKÅNE LÄN</t>
        </is>
      </c>
      <c r="G51" t="inlineStr">
        <is>
          <t>SVEDALA</t>
        </is>
      </c>
      <c r="I51" t="n">
        <v>8.9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45406</v>
      </c>
      <c r="E52" s="1" t="n">
        <v>46313</v>
      </c>
      <c r="F52" t="inlineStr">
        <is>
          <t>SKÅNE LÄN</t>
        </is>
      </c>
      <c r="G52" t="inlineStr">
        <is>
          <t>SVEDALA</t>
        </is>
      </c>
      <c r="I52" t="n">
        <v>13.5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46313</v>
      </c>
      <c r="F53" t="inlineStr">
        <is>
          <t>SKÅNE LÄN</t>
        </is>
      </c>
      <c r="G53" t="inlineStr">
        <is>
          <t>SVEDALA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46286</v>
      </c>
      <c r="E54" s="1" t="n">
        <v>46313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46313</v>
      </c>
      <c r="F55" t="inlineStr">
        <is>
          <t>SKÅNE LÄN</t>
        </is>
      </c>
      <c r="G55" t="inlineStr">
        <is>
          <t>SVEDALA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46313</v>
      </c>
      <c r="F56" t="inlineStr">
        <is>
          <t>SKÅNE LÄN</t>
        </is>
      </c>
      <c r="G56" t="inlineStr">
        <is>
          <t>SVEDALA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46313</v>
      </c>
      <c r="F57" t="inlineStr">
        <is>
          <t>SKÅNE LÄN</t>
        </is>
      </c>
      <c r="G57" t="inlineStr">
        <is>
          <t>SVEDALA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13344-2023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45005</v>
      </c>
      <c r="E58" s="1" t="n">
        <v>46313</v>
      </c>
      <c r="F58" t="inlineStr">
        <is>
          <t>SKÅNE LÄN</t>
        </is>
      </c>
      <c r="G58" t="inlineStr">
        <is>
          <t>SVEDALA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19190-2023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45048</v>
      </c>
      <c r="E59" s="1" t="n">
        <v>46313</v>
      </c>
      <c r="F59" t="inlineStr">
        <is>
          <t>SKÅNE LÄN</t>
        </is>
      </c>
      <c r="G59" t="inlineStr">
        <is>
          <t>SVEDALA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45232</v>
      </c>
      <c r="E60" s="1" t="n">
        <v>46313</v>
      </c>
      <c r="F60" t="inlineStr">
        <is>
          <t>SKÅNE LÄN</t>
        </is>
      </c>
      <c r="G60" t="inlineStr">
        <is>
          <t>SVEDALA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46313</v>
      </c>
      <c r="F61" t="inlineStr">
        <is>
          <t>SKÅNE LÄN</t>
        </is>
      </c>
      <c r="G61" t="inlineStr">
        <is>
          <t>SVEDALA</t>
        </is>
      </c>
      <c r="I61" t="n">
        <v>8.1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16690-2023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46313</v>
      </c>
      <c r="F62" t="inlineStr">
        <is>
          <t>SKÅNE LÄN</t>
        </is>
      </c>
      <c r="G62" t="inlineStr">
        <is>
          <t>SVEDALA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45427</v>
      </c>
      <c r="E63" s="1" t="n">
        <v>46313</v>
      </c>
      <c r="F63" t="inlineStr">
        <is>
          <t>SKÅNE LÄN</t>
        </is>
      </c>
      <c r="G63" t="inlineStr">
        <is>
          <t>SVEDALA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46313</v>
      </c>
      <c r="F64" t="inlineStr">
        <is>
          <t>SKÅNE LÄN</t>
        </is>
      </c>
      <c r="G64" t="inlineStr">
        <is>
          <t>SVEDALA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46313</v>
      </c>
      <c r="F65" t="inlineStr">
        <is>
          <t>SKÅNE LÄN</t>
        </is>
      </c>
      <c r="G65" t="inlineStr">
        <is>
          <t>SVEDALA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26080-2026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46313</v>
      </c>
      <c r="F66" t="inlineStr">
        <is>
          <t>SKÅNE LÄN</t>
        </is>
      </c>
      <c r="G66" t="inlineStr">
        <is>
          <t>SVEDALA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46313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46313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2026-10-18T08:09:24Z</dcterms:created>
  <dcterms:modified xmlns:dcterms="http://purl.org/dc/terms/" xmlns:xsi="http://www.w3.org/2001/XMLSchema-instance" xsi:type="dcterms:W3CDTF">2026-10-18T08:09:24Z</dcterms:modified>
</cp:coreProperties>
</file>