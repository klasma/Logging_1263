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29032-2023</t>
        </is>
      </c>
      <c r="B2" s="1" t="n">
        <v>45104</v>
      </c>
      <c r="C2" s="1" t="n">
        <v>46193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15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15</v>
      </c>
      <c r="R2" s="2" t="inlineStr">
        <is>
          <t>Blå kärrhök
Grönfink
Entita
Grönsångare
Gulsparv
Mindre hackspett
Skogsknipprot
Spillkråka
Gröngöling
Kungsfågel
Röd glada
Skogsduva
Trana
Åkergroda
Vanlig groda</t>
        </is>
      </c>
      <c r="S2">
        <f>HYPERLINK("https://klasma.github.io/Logging_1263/artfynd/A 29032-2023 artfynd.xlsx", "A 29032-2023")</f>
        <v/>
      </c>
      <c r="T2">
        <f>HYPERLINK("https://klasma.github.io/Logging_1263/kartor/A 29032-2023 karta.png", "A 29032-2023")</f>
        <v/>
      </c>
      <c r="V2">
        <f>HYPERLINK("https://klasma.github.io/Logging_1263/klagomål/A 29032-2023 FSC-klagomål.docx", "A 29032-2023")</f>
        <v/>
      </c>
      <c r="W2">
        <f>HYPERLINK("https://klasma.github.io/Logging_1263/klagomålsmail/A 29032-2023 FSC-klagomål mail.docx", "A 29032-2023")</f>
        <v/>
      </c>
      <c r="X2">
        <f>HYPERLINK("https://klasma.github.io/Logging_1263/tillsyn/A 29032-2023 tillsynsbegäran.docx", "A 29032-2023")</f>
        <v/>
      </c>
      <c r="Y2">
        <f>HYPERLINK("https://klasma.github.io/Logging_1263/tillsynsmail/A 29032-2023 tillsynsbegäran mail.docx", "A 29032-2023")</f>
        <v/>
      </c>
      <c r="Z2">
        <f>HYPERLINK("https://klasma.github.io/Logging_1263/fåglar/A 29032-2023 prioriterade fågelarter.docx", "A 29032-2023")</f>
        <v/>
      </c>
    </row>
    <row r="3" ht="15" customHeight="1">
      <c r="A3" t="inlineStr">
        <is>
          <t>A 25062-2026</t>
        </is>
      </c>
      <c r="B3" s="1" t="n">
        <v>46174</v>
      </c>
      <c r="C3" s="1" t="n">
        <v>46193</v>
      </c>
      <c r="D3" t="inlineStr">
        <is>
          <t>SKÅNE LÄN</t>
        </is>
      </c>
      <c r="E3" t="inlineStr">
        <is>
          <t>SVEDALA</t>
        </is>
      </c>
      <c r="G3" t="n">
        <v>3.3</v>
      </c>
      <c r="H3" t="n">
        <v>2</v>
      </c>
      <c r="I3" t="n">
        <v>7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6</v>
      </c>
      <c r="P3" t="n">
        <v>2</v>
      </c>
      <c r="Q3" t="n">
        <v>14</v>
      </c>
      <c r="R3" s="2" t="inlineStr">
        <is>
          <t>Ask
Lundäxing
Gullpudra
Skogsveronika
Sårläka
Vårärt
Hässleklocka
Lundvårlök
Myskmadra
Rutbläcksvamp
Skogsknipprot
Stor häxört
Tibast
Sankt pers nycklar</t>
        </is>
      </c>
      <c r="S3">
        <f>HYPERLINK("https://klasma.github.io/Logging_1263/artfynd/A 25062-2026 artfynd.xlsx", "A 25062-2026")</f>
        <v/>
      </c>
      <c r="T3">
        <f>HYPERLINK("https://klasma.github.io/Logging_1263/kartor/A 25062-2026 karta.png", "A 25062-2026")</f>
        <v/>
      </c>
      <c r="V3">
        <f>HYPERLINK("https://klasma.github.io/Logging_1263/klagomål/A 25062-2026 FSC-klagomål.docx", "A 25062-2026")</f>
        <v/>
      </c>
      <c r="W3">
        <f>HYPERLINK("https://klasma.github.io/Logging_1263/klagomålsmail/A 25062-2026 FSC-klagomål mail.docx", "A 25062-2026")</f>
        <v/>
      </c>
      <c r="X3">
        <f>HYPERLINK("https://klasma.github.io/Logging_1263/tillsyn/A 25062-2026 tillsynsbegäran.docx", "A 25062-2026")</f>
        <v/>
      </c>
      <c r="Y3">
        <f>HYPERLINK("https://klasma.github.io/Logging_1263/tillsynsmail/A 25062-2026 tillsynsbegäran mail.docx", "A 25062-2026")</f>
        <v/>
      </c>
    </row>
    <row r="4" ht="15" customHeight="1">
      <c r="A4" t="inlineStr">
        <is>
          <t>A 28247-2025</t>
        </is>
      </c>
      <c r="B4" s="1" t="n">
        <v>45818</v>
      </c>
      <c r="C4" s="1" t="n">
        <v>46193</v>
      </c>
      <c r="D4" t="inlineStr">
        <is>
          <t>SKÅNE LÄN</t>
        </is>
      </c>
      <c r="E4" t="inlineStr">
        <is>
          <t>SVEDALA</t>
        </is>
      </c>
      <c r="G4" t="n">
        <v>6.2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Bokvårtlav
Skugglosta
Nästrot
Scharlakansskål
Scharlakansvårskål agg.
Trädporella
Kungsfågel</t>
        </is>
      </c>
      <c r="S4">
        <f>HYPERLINK("https://klasma.github.io/Logging_1263/artfynd/A 28247-2025 artfynd.xlsx", "A 28247-2025")</f>
        <v/>
      </c>
      <c r="T4">
        <f>HYPERLINK("https://klasma.github.io/Logging_1263/kartor/A 28247-2025 karta.png", "A 28247-2025")</f>
        <v/>
      </c>
      <c r="V4">
        <f>HYPERLINK("https://klasma.github.io/Logging_1263/klagomål/A 28247-2025 FSC-klagomål.docx", "A 28247-2025")</f>
        <v/>
      </c>
      <c r="W4">
        <f>HYPERLINK("https://klasma.github.io/Logging_1263/klagomålsmail/A 28247-2025 FSC-klagomål mail.docx", "A 28247-2025")</f>
        <v/>
      </c>
      <c r="X4">
        <f>HYPERLINK("https://klasma.github.io/Logging_1263/tillsyn/A 28247-2025 tillsynsbegäran.docx", "A 28247-2025")</f>
        <v/>
      </c>
      <c r="Y4">
        <f>HYPERLINK("https://klasma.github.io/Logging_1263/tillsynsmail/A 28247-2025 tillsynsbegäran mail.docx", "A 28247-2025")</f>
        <v/>
      </c>
      <c r="Z4">
        <f>HYPERLINK("https://klasma.github.io/Logging_1263/fåglar/A 28247-2025 prioriterade fågelarter.docx", "A 28247-2025")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46193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Kragjordstjärna
Scharlakansskål
Stor häxört
Svartvit flugsnappare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25049-2026</t>
        </is>
      </c>
      <c r="B6" s="1" t="n">
        <v>46174</v>
      </c>
      <c r="C6" s="1" t="n">
        <v>46193</v>
      </c>
      <c r="D6" t="inlineStr">
        <is>
          <t>SKÅNE LÄN</t>
        </is>
      </c>
      <c r="E6" t="inlineStr">
        <is>
          <t>SVEDALA</t>
        </is>
      </c>
      <c r="G6" t="n">
        <v>1.3</v>
      </c>
      <c r="H6" t="n">
        <v>5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Vit stork
Bivråk
Fiskgjuse
Havsörn
Trana</t>
        </is>
      </c>
      <c r="S6">
        <f>HYPERLINK("https://klasma.github.io/Logging_1263/artfynd/A 25049-2026 artfynd.xlsx", "A 25049-2026")</f>
        <v/>
      </c>
      <c r="T6">
        <f>HYPERLINK("https://klasma.github.io/Logging_1263/kartor/A 25049-2026 karta.png", "A 25049-2026")</f>
        <v/>
      </c>
      <c r="V6">
        <f>HYPERLINK("https://klasma.github.io/Logging_1263/klagomål/A 25049-2026 FSC-klagomål.docx", "A 25049-2026")</f>
        <v/>
      </c>
      <c r="W6">
        <f>HYPERLINK("https://klasma.github.io/Logging_1263/klagomålsmail/A 25049-2026 FSC-klagomål mail.docx", "A 25049-2026")</f>
        <v/>
      </c>
      <c r="X6">
        <f>HYPERLINK("https://klasma.github.io/Logging_1263/tillsyn/A 25049-2026 tillsynsbegäran.docx", "A 25049-2026")</f>
        <v/>
      </c>
      <c r="Y6">
        <f>HYPERLINK("https://klasma.github.io/Logging_1263/tillsynsmail/A 25049-2026 tillsynsbegäran mail.docx", "A 25049-2026")</f>
        <v/>
      </c>
      <c r="Z6">
        <f>HYPERLINK("https://klasma.github.io/Logging_1263/fåglar/A 25049-2026 prioriterade fågelarter.docx", "A 25049-2026")</f>
        <v/>
      </c>
    </row>
    <row r="7" ht="15" customHeight="1">
      <c r="A7" t="inlineStr">
        <is>
          <t>A 31700-2023</t>
        </is>
      </c>
      <c r="B7" s="1" t="n">
        <v>45117</v>
      </c>
      <c r="C7" s="1" t="n">
        <v>46193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3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Brun glada
Revig blodrot
Lövgroda
Större vattensalamander</t>
        </is>
      </c>
      <c r="S7">
        <f>HYPERLINK("https://klasma.github.io/Logging_1263/artfynd/A 31700-2023 artfynd.xlsx", "A 31700-2023")</f>
        <v/>
      </c>
      <c r="T7">
        <f>HYPERLINK("https://klasma.github.io/Logging_1263/kartor/A 31700-2023 karta.png", "A 31700-2023")</f>
        <v/>
      </c>
      <c r="V7">
        <f>HYPERLINK("https://klasma.github.io/Logging_1263/klagomål/A 31700-2023 FSC-klagomål.docx", "A 31700-2023")</f>
        <v/>
      </c>
      <c r="W7">
        <f>HYPERLINK("https://klasma.github.io/Logging_1263/klagomålsmail/A 31700-2023 FSC-klagomål mail.docx", "A 31700-2023")</f>
        <v/>
      </c>
      <c r="X7">
        <f>HYPERLINK("https://klasma.github.io/Logging_1263/tillsyn/A 31700-2023 tillsynsbegäran.docx", "A 31700-2023")</f>
        <v/>
      </c>
      <c r="Y7">
        <f>HYPERLINK("https://klasma.github.io/Logging_1263/tillsynsmail/A 31700-2023 tillsynsbegäran mail.docx", "A 31700-2023")</f>
        <v/>
      </c>
      <c r="Z7">
        <f>HYPERLINK("https://klasma.github.io/Logging_1263/fåglar/A 31700-2023 prioriterade fågelarter.docx", "A 31700-2023")</f>
        <v/>
      </c>
    </row>
    <row r="8" ht="15" customHeight="1">
      <c r="A8" t="inlineStr">
        <is>
          <t>A 14150-2023</t>
        </is>
      </c>
      <c r="B8" s="1" t="n">
        <v>45009</v>
      </c>
      <c r="C8" s="1" t="n">
        <v>46193</v>
      </c>
      <c r="D8" t="inlineStr">
        <is>
          <t>SKÅNE LÄN</t>
        </is>
      </c>
      <c r="E8" t="inlineStr">
        <is>
          <t>SVEDALA</t>
        </is>
      </c>
      <c r="G8" t="n">
        <v>2.5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Guldlockmossa
Lönnlav
Platt fjädermossa
Tibast</t>
        </is>
      </c>
      <c r="S8">
        <f>HYPERLINK("https://klasma.github.io/Logging_1263/artfynd/A 14150-2023 artfynd.xlsx", "A 14150-2023")</f>
        <v/>
      </c>
      <c r="T8">
        <f>HYPERLINK("https://klasma.github.io/Logging_1263/kartor/A 14150-2023 karta.png", "A 14150-2023")</f>
        <v/>
      </c>
      <c r="V8">
        <f>HYPERLINK("https://klasma.github.io/Logging_1263/klagomål/A 14150-2023 FSC-klagomål.docx", "A 14150-2023")</f>
        <v/>
      </c>
      <c r="W8">
        <f>HYPERLINK("https://klasma.github.io/Logging_1263/klagomålsmail/A 14150-2023 FSC-klagomål mail.docx", "A 14150-2023")</f>
        <v/>
      </c>
      <c r="X8">
        <f>HYPERLINK("https://klasma.github.io/Logging_1263/tillsyn/A 14150-2023 tillsynsbegäran.docx", "A 14150-2023")</f>
        <v/>
      </c>
      <c r="Y8">
        <f>HYPERLINK("https://klasma.github.io/Logging_1263/tillsynsmail/A 14150-2023 tillsynsbegäran mail.docx", "A 14150-2023")</f>
        <v/>
      </c>
    </row>
    <row r="9" ht="15" customHeight="1">
      <c r="A9" t="inlineStr">
        <is>
          <t>A 16122-2024</t>
        </is>
      </c>
      <c r="B9" s="1" t="n">
        <v>45406</v>
      </c>
      <c r="C9" s="1" t="n">
        <v>46193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Oxtungssvamp
Myskmadra
Svartvit flugsnappare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  <c r="Z9">
        <f>HYPERLINK("https://klasma.github.io/Logging_1263/fåglar/A 16122-2024 prioriterade fågelarter.docx", "A 16122-2024")</f>
        <v/>
      </c>
    </row>
    <row r="10" ht="15" customHeight="1">
      <c r="A10" t="inlineStr">
        <is>
          <t>A 15565-2024</t>
        </is>
      </c>
      <c r="B10" s="1" t="n">
        <v>45401</v>
      </c>
      <c r="C10" s="1" t="n">
        <v>46193</v>
      </c>
      <c r="D10" t="inlineStr">
        <is>
          <t>SKÅNE LÄN</t>
        </is>
      </c>
      <c r="E10" t="inlineStr">
        <is>
          <t>SVEDALA</t>
        </is>
      </c>
      <c r="G10" t="n">
        <v>7</v>
      </c>
      <c r="H10" t="n">
        <v>0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Igelkott</t>
        </is>
      </c>
      <c r="S10">
        <f>HYPERLINK("https://klasma.github.io/Logging_1263/artfynd/A 15565-2024 artfynd.xlsx", "A 15565-2024")</f>
        <v/>
      </c>
      <c r="T10">
        <f>HYPERLINK("https://klasma.github.io/Logging_1263/kartor/A 15565-2024 karta.png", "A 15565-2024")</f>
        <v/>
      </c>
      <c r="V10">
        <f>HYPERLINK("https://klasma.github.io/Logging_1263/klagomål/A 15565-2024 FSC-klagomål.docx", "A 15565-2024")</f>
        <v/>
      </c>
      <c r="W10">
        <f>HYPERLINK("https://klasma.github.io/Logging_1263/klagomålsmail/A 15565-2024 FSC-klagomål mail.docx", "A 15565-2024")</f>
        <v/>
      </c>
      <c r="X10">
        <f>HYPERLINK("https://klasma.github.io/Logging_1263/tillsyn/A 15565-2024 tillsynsbegäran.docx", "A 15565-2024")</f>
        <v/>
      </c>
      <c r="Y10">
        <f>HYPERLINK("https://klasma.github.io/Logging_1263/tillsynsmail/A 15565-2024 tillsynsbegäran mail.docx", "A 15565-2024")</f>
        <v/>
      </c>
    </row>
    <row r="11" ht="15" customHeight="1">
      <c r="A11" t="inlineStr">
        <is>
          <t>A 31697-2023</t>
        </is>
      </c>
      <c r="B11" s="1" t="n">
        <v>45117</v>
      </c>
      <c r="C11" s="1" t="n">
        <v>46193</v>
      </c>
      <c r="D11" t="inlineStr">
        <is>
          <t>SKÅNE LÄN</t>
        </is>
      </c>
      <c r="E11" t="inlineStr">
        <is>
          <t>SVEDALA</t>
        </is>
      </c>
      <c r="G11" t="n">
        <v>2.2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Lövgroda
Större vattensalamander</t>
        </is>
      </c>
      <c r="S11">
        <f>HYPERLINK("https://klasma.github.io/Logging_1263/artfynd/A 31697-2023 artfynd.xlsx", "A 31697-2023")</f>
        <v/>
      </c>
      <c r="T11">
        <f>HYPERLINK("https://klasma.github.io/Logging_1263/kartor/A 31697-2023 karta.png", "A 31697-2023")</f>
        <v/>
      </c>
      <c r="V11">
        <f>HYPERLINK("https://klasma.github.io/Logging_1263/klagomål/A 31697-2023 FSC-klagomål.docx", "A 31697-2023")</f>
        <v/>
      </c>
      <c r="W11">
        <f>HYPERLINK("https://klasma.github.io/Logging_1263/klagomålsmail/A 31697-2023 FSC-klagomål mail.docx", "A 31697-2023")</f>
        <v/>
      </c>
      <c r="X11">
        <f>HYPERLINK("https://klasma.github.io/Logging_1263/tillsyn/A 31697-2023 tillsynsbegäran.docx", "A 31697-2023")</f>
        <v/>
      </c>
      <c r="Y11">
        <f>HYPERLINK("https://klasma.github.io/Logging_1263/tillsynsmail/A 31697-2023 tillsynsbegäran mail.docx", "A 31697-2023")</f>
        <v/>
      </c>
    </row>
    <row r="12" ht="15" customHeight="1">
      <c r="A12" t="inlineStr">
        <is>
          <t>A 58350-2025</t>
        </is>
      </c>
      <c r="B12" s="1" t="n">
        <v>45985</v>
      </c>
      <c r="C12" s="1" t="n">
        <v>46193</v>
      </c>
      <c r="D12" t="inlineStr">
        <is>
          <t>SKÅNE LÄN</t>
        </is>
      </c>
      <c r="E12" t="inlineStr">
        <is>
          <t>SVEDALA</t>
        </is>
      </c>
      <c r="G12" t="n">
        <v>6.9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Koralltaggsvamp
Stor revmossa</t>
        </is>
      </c>
      <c r="S12">
        <f>HYPERLINK("https://klasma.github.io/Logging_1263/artfynd/A 58350-2025 artfynd.xlsx", "A 58350-2025")</f>
        <v/>
      </c>
      <c r="T12">
        <f>HYPERLINK("https://klasma.github.io/Logging_1263/kartor/A 58350-2025 karta.png", "A 58350-2025")</f>
        <v/>
      </c>
      <c r="V12">
        <f>HYPERLINK("https://klasma.github.io/Logging_1263/klagomål/A 58350-2025 FSC-klagomål.docx", "A 58350-2025")</f>
        <v/>
      </c>
      <c r="W12">
        <f>HYPERLINK("https://klasma.github.io/Logging_1263/klagomålsmail/A 58350-2025 FSC-klagomål mail.docx", "A 58350-2025")</f>
        <v/>
      </c>
      <c r="X12">
        <f>HYPERLINK("https://klasma.github.io/Logging_1263/tillsyn/A 58350-2025 tillsynsbegäran.docx", "A 58350-2025")</f>
        <v/>
      </c>
      <c r="Y12">
        <f>HYPERLINK("https://klasma.github.io/Logging_1263/tillsynsmail/A 58350-2025 tillsynsbegäran mail.docx", "A 58350-2025")</f>
        <v/>
      </c>
    </row>
    <row r="13" ht="15" customHeight="1">
      <c r="A13" t="inlineStr">
        <is>
          <t>A 2482-2025</t>
        </is>
      </c>
      <c r="B13" s="1" t="n">
        <v>45674</v>
      </c>
      <c r="C13" s="1" t="n">
        <v>46193</v>
      </c>
      <c r="D13" t="inlineStr">
        <is>
          <t>SKÅNE LÄN</t>
        </is>
      </c>
      <c r="E13" t="inlineStr">
        <is>
          <t>SVEDALA</t>
        </is>
      </c>
      <c r="G13" t="n">
        <v>0.5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Korallticka
Ekoxe</t>
        </is>
      </c>
      <c r="S13">
        <f>HYPERLINK("https://klasma.github.io/Logging_1263/artfynd/A 2482-2025 artfynd.xlsx", "A 2482-2025")</f>
        <v/>
      </c>
      <c r="T13">
        <f>HYPERLINK("https://klasma.github.io/Logging_1263/kartor/A 2482-2025 karta.png", "A 2482-2025")</f>
        <v/>
      </c>
      <c r="V13">
        <f>HYPERLINK("https://klasma.github.io/Logging_1263/klagomål/A 2482-2025 FSC-klagomål.docx", "A 2482-2025")</f>
        <v/>
      </c>
      <c r="W13">
        <f>HYPERLINK("https://klasma.github.io/Logging_1263/klagomålsmail/A 2482-2025 FSC-klagomål mail.docx", "A 2482-2025")</f>
        <v/>
      </c>
      <c r="X13">
        <f>HYPERLINK("https://klasma.github.io/Logging_1263/tillsyn/A 2482-2025 tillsynsbegäran.docx", "A 2482-2025")</f>
        <v/>
      </c>
      <c r="Y13">
        <f>HYPERLINK("https://klasma.github.io/Logging_1263/tillsynsmail/A 2482-2025 tillsynsbegäran mail.docx", "A 2482-2025")</f>
        <v/>
      </c>
    </row>
    <row r="14" ht="15" customHeight="1">
      <c r="A14" t="inlineStr">
        <is>
          <t>A 38011-2023</t>
        </is>
      </c>
      <c r="B14" s="1" t="n">
        <v>45160</v>
      </c>
      <c r="C14" s="1" t="n">
        <v>46193</v>
      </c>
      <c r="D14" t="inlineStr">
        <is>
          <t>SKÅNE LÄN</t>
        </is>
      </c>
      <c r="E14" t="inlineStr">
        <is>
          <t>SVEDALA</t>
        </is>
      </c>
      <c r="G14" t="n">
        <v>2.8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Lökgroda
Skogsknipprot</t>
        </is>
      </c>
      <c r="S14">
        <f>HYPERLINK("https://klasma.github.io/Logging_1263/artfynd/A 38011-2023 artfynd.xlsx", "A 38011-2023")</f>
        <v/>
      </c>
      <c r="T14">
        <f>HYPERLINK("https://klasma.github.io/Logging_1263/kartor/A 38011-2023 karta.png", "A 38011-2023")</f>
        <v/>
      </c>
      <c r="V14">
        <f>HYPERLINK("https://klasma.github.io/Logging_1263/klagomål/A 38011-2023 FSC-klagomål.docx", "A 38011-2023")</f>
        <v/>
      </c>
      <c r="W14">
        <f>HYPERLINK("https://klasma.github.io/Logging_1263/klagomålsmail/A 38011-2023 FSC-klagomål mail.docx", "A 38011-2023")</f>
        <v/>
      </c>
      <c r="X14">
        <f>HYPERLINK("https://klasma.github.io/Logging_1263/tillsyn/A 38011-2023 tillsynsbegäran.docx", "A 38011-2023")</f>
        <v/>
      </c>
      <c r="Y14">
        <f>HYPERLINK("https://klasma.github.io/Logging_1263/tillsynsmail/A 38011-2023 tillsynsbegäran mail.docx", "A 38011-2023")</f>
        <v/>
      </c>
    </row>
    <row r="15" ht="15" customHeight="1">
      <c r="A15" t="inlineStr">
        <is>
          <t>A 9570-2026</t>
        </is>
      </c>
      <c r="B15" s="1" t="n">
        <v>46070</v>
      </c>
      <c r="C15" s="1" t="n">
        <v>46193</v>
      </c>
      <c r="D15" t="inlineStr">
        <is>
          <t>SKÅNE LÄN</t>
        </is>
      </c>
      <c r="E15" t="inlineStr">
        <is>
          <t>SVEDALA</t>
        </is>
      </c>
      <c r="G15" t="n">
        <v>6.6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Lövgroda
Större vattensalamander</t>
        </is>
      </c>
      <c r="S15">
        <f>HYPERLINK("https://klasma.github.io/Logging_1263/artfynd/A 9570-2026 artfynd.xlsx", "A 9570-2026")</f>
        <v/>
      </c>
      <c r="T15">
        <f>HYPERLINK("https://klasma.github.io/Logging_1263/kartor/A 9570-2026 karta.png", "A 9570-2026")</f>
        <v/>
      </c>
      <c r="V15">
        <f>HYPERLINK("https://klasma.github.io/Logging_1263/klagomål/A 9570-2026 FSC-klagomål.docx", "A 9570-2026")</f>
        <v/>
      </c>
      <c r="W15">
        <f>HYPERLINK("https://klasma.github.io/Logging_1263/klagomålsmail/A 9570-2026 FSC-klagomål mail.docx", "A 9570-2026")</f>
        <v/>
      </c>
      <c r="X15">
        <f>HYPERLINK("https://klasma.github.io/Logging_1263/tillsyn/A 9570-2026 tillsynsbegäran.docx", "A 9570-2026")</f>
        <v/>
      </c>
      <c r="Y15">
        <f>HYPERLINK("https://klasma.github.io/Logging_1263/tillsynsmail/A 9570-2026 tillsynsbegäran mail.docx", "A 9570-2026")</f>
        <v/>
      </c>
    </row>
    <row r="16" ht="15" customHeight="1">
      <c r="A16" t="inlineStr">
        <is>
          <t>A 25022-2026</t>
        </is>
      </c>
      <c r="B16" s="1" t="n">
        <v>46174</v>
      </c>
      <c r="C16" s="1" t="n">
        <v>46193</v>
      </c>
      <c r="D16" t="inlineStr">
        <is>
          <t>SKÅNE LÄN</t>
        </is>
      </c>
      <c r="E16" t="inlineStr">
        <is>
          <t>SVEDALA</t>
        </is>
      </c>
      <c r="G16" t="n">
        <v>4.2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Mindre tåtelsmygare
Skogsknipprot</t>
        </is>
      </c>
      <c r="S16">
        <f>HYPERLINK("https://klasma.github.io/Logging_1263/artfynd/A 25022-2026 artfynd.xlsx", "A 25022-2026")</f>
        <v/>
      </c>
      <c r="T16">
        <f>HYPERLINK("https://klasma.github.io/Logging_1263/kartor/A 25022-2026 karta.png", "A 25022-2026")</f>
        <v/>
      </c>
      <c r="V16">
        <f>HYPERLINK("https://klasma.github.io/Logging_1263/klagomål/A 25022-2026 FSC-klagomål.docx", "A 25022-2026")</f>
        <v/>
      </c>
      <c r="W16">
        <f>HYPERLINK("https://klasma.github.io/Logging_1263/klagomålsmail/A 25022-2026 FSC-klagomål mail.docx", "A 25022-2026")</f>
        <v/>
      </c>
      <c r="X16">
        <f>HYPERLINK("https://klasma.github.io/Logging_1263/tillsyn/A 25022-2026 tillsynsbegäran.docx", "A 25022-2026")</f>
        <v/>
      </c>
      <c r="Y16">
        <f>HYPERLINK("https://klasma.github.io/Logging_1263/tillsynsmail/A 25022-2026 tillsynsbegäran mail.docx", "A 25022-2026")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46193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27107-2022</t>
        </is>
      </c>
      <c r="B18" s="1" t="n">
        <v>44741</v>
      </c>
      <c r="C18" s="1" t="n">
        <v>46193</v>
      </c>
      <c r="D18" t="inlineStr">
        <is>
          <t>SKÅNE LÄN</t>
        </is>
      </c>
      <c r="E18" t="inlineStr">
        <is>
          <t>SVEDALA</t>
        </is>
      </c>
      <c r="G18" t="n">
        <v>10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HYPERLINK("https://klasma.github.io/Logging_1263/artfynd/A 27107-2022 artfynd.xlsx", "A 27107-2022")</f>
        <v/>
      </c>
      <c r="T18">
        <f>HYPERLINK("https://klasma.github.io/Logging_1263/kartor/A 27107-2022 karta.png", "A 27107-2022")</f>
        <v/>
      </c>
      <c r="V18">
        <f>HYPERLINK("https://klasma.github.io/Logging_1263/klagomål/A 27107-2022 FSC-klagomål.docx", "A 27107-2022")</f>
        <v/>
      </c>
      <c r="W18">
        <f>HYPERLINK("https://klasma.github.io/Logging_1263/klagomålsmail/A 27107-2022 FSC-klagomål mail.docx", "A 27107-2022")</f>
        <v/>
      </c>
      <c r="X18">
        <f>HYPERLINK("https://klasma.github.io/Logging_1263/tillsyn/A 27107-2022 tillsynsbegäran.docx", "A 27107-2022")</f>
        <v/>
      </c>
      <c r="Y18">
        <f>HYPERLINK("https://klasma.github.io/Logging_1263/tillsynsmail/A 27107-2022 tillsynsbegäran mail.docx", "A 27107-2022")</f>
        <v/>
      </c>
      <c r="Z18">
        <f>HYPERLINK("https://klasma.github.io/Logging_1263/fåglar/A 27107-2022 prioriterade fågelarter.docx", "A 27107-2022")</f>
        <v/>
      </c>
    </row>
    <row r="19" ht="15" customHeight="1">
      <c r="A19" t="inlineStr">
        <is>
          <t>A 16684-2023</t>
        </is>
      </c>
      <c r="B19" s="1" t="n">
        <v>45030</v>
      </c>
      <c r="C19" s="1" t="n">
        <v>46193</v>
      </c>
      <c r="D19" t="inlineStr">
        <is>
          <t>SKÅNE LÄN</t>
        </is>
      </c>
      <c r="E19" t="inlineStr">
        <is>
          <t>SVEDALA</t>
        </is>
      </c>
      <c r="G19" t="n">
        <v>6.1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Större grynsnäcka</t>
        </is>
      </c>
      <c r="S19">
        <f>HYPERLINK("https://klasma.github.io/Logging_1263/artfynd/A 16684-2023 artfynd.xlsx", "A 16684-2023")</f>
        <v/>
      </c>
      <c r="T19">
        <f>HYPERLINK("https://klasma.github.io/Logging_1263/kartor/A 16684-2023 karta.png", "A 16684-2023")</f>
        <v/>
      </c>
      <c r="V19">
        <f>HYPERLINK("https://klasma.github.io/Logging_1263/klagomål/A 16684-2023 FSC-klagomål.docx", "A 16684-2023")</f>
        <v/>
      </c>
      <c r="W19">
        <f>HYPERLINK("https://klasma.github.io/Logging_1263/klagomålsmail/A 16684-2023 FSC-klagomål mail.docx", "A 16684-2023")</f>
        <v/>
      </c>
      <c r="X19">
        <f>HYPERLINK("https://klasma.github.io/Logging_1263/tillsyn/A 16684-2023 tillsynsbegäran.docx", "A 16684-2023")</f>
        <v/>
      </c>
      <c r="Y19">
        <f>HYPERLINK("https://klasma.github.io/Logging_1263/tillsynsmail/A 16684-2023 tillsynsbegäran mail.docx", "A 16684-2023")</f>
        <v/>
      </c>
    </row>
    <row r="20" ht="15" customHeight="1">
      <c r="A20" t="inlineStr">
        <is>
          <t>A 15582-2024</t>
        </is>
      </c>
      <c r="B20" s="1" t="n">
        <v>45401</v>
      </c>
      <c r="C20" s="1" t="n">
        <v>46193</v>
      </c>
      <c r="D20" t="inlineStr">
        <is>
          <t>SKÅNE LÄN</t>
        </is>
      </c>
      <c r="E20" t="inlineStr">
        <is>
          <t>SVEDALA</t>
        </is>
      </c>
      <c r="G20" t="n">
        <v>7.3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HYPERLINK("https://klasma.github.io/Logging_1263/artfynd/A 15582-2024 artfynd.xlsx", "A 15582-2024")</f>
        <v/>
      </c>
      <c r="T20">
        <f>HYPERLINK("https://klasma.github.io/Logging_1263/kartor/A 15582-2024 karta.png", "A 15582-2024")</f>
        <v/>
      </c>
      <c r="V20">
        <f>HYPERLINK("https://klasma.github.io/Logging_1263/klagomål/A 15582-2024 FSC-klagomål.docx", "A 15582-2024")</f>
        <v/>
      </c>
      <c r="W20">
        <f>HYPERLINK("https://klasma.github.io/Logging_1263/klagomålsmail/A 15582-2024 FSC-klagomål mail.docx", "A 15582-2024")</f>
        <v/>
      </c>
      <c r="X20">
        <f>HYPERLINK("https://klasma.github.io/Logging_1263/tillsyn/A 15582-2024 tillsynsbegäran.docx", "A 15582-2024")</f>
        <v/>
      </c>
      <c r="Y20">
        <f>HYPERLINK("https://klasma.github.io/Logging_1263/tillsynsmail/A 15582-2024 tillsynsbegäran mail.docx", "A 15582-2024")</f>
        <v/>
      </c>
      <c r="Z20">
        <f>HYPERLINK("https://klasma.github.io/Logging_1263/fåglar/A 15582-2024 prioriterade fågelarter.docx", "A 15582-2024")</f>
        <v/>
      </c>
    </row>
    <row r="21" ht="15" customHeight="1">
      <c r="A21" t="inlineStr">
        <is>
          <t>A 15571-2024</t>
        </is>
      </c>
      <c r="B21" s="1" t="n">
        <v>45401</v>
      </c>
      <c r="C21" s="1" t="n">
        <v>46193</v>
      </c>
      <c r="D21" t="inlineStr">
        <is>
          <t>SKÅNE LÄN</t>
        </is>
      </c>
      <c r="E21" t="inlineStr">
        <is>
          <t>SVEDALA</t>
        </is>
      </c>
      <c r="G21" t="n">
        <v>11.1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 skogssnigel</t>
        </is>
      </c>
      <c r="S21">
        <f>HYPERLINK("https://klasma.github.io/Logging_1263/artfynd/A 15571-2024 artfynd.xlsx", "A 15571-2024")</f>
        <v/>
      </c>
      <c r="T21">
        <f>HYPERLINK("https://klasma.github.io/Logging_1263/kartor/A 15571-2024 karta.png", "A 15571-2024")</f>
        <v/>
      </c>
      <c r="V21">
        <f>HYPERLINK("https://klasma.github.io/Logging_1263/klagomål/A 15571-2024 FSC-klagomål.docx", "A 15571-2024")</f>
        <v/>
      </c>
      <c r="W21">
        <f>HYPERLINK("https://klasma.github.io/Logging_1263/klagomålsmail/A 15571-2024 FSC-klagomål mail.docx", "A 15571-2024")</f>
        <v/>
      </c>
      <c r="X21">
        <f>HYPERLINK("https://klasma.github.io/Logging_1263/tillsyn/A 15571-2024 tillsynsbegäran.docx", "A 15571-2024")</f>
        <v/>
      </c>
      <c r="Y21">
        <f>HYPERLINK("https://klasma.github.io/Logging_1263/tillsynsmail/A 15571-2024 tillsynsbegäran mail.docx", "A 15571-2024")</f>
        <v/>
      </c>
    </row>
    <row r="22" ht="15" customHeight="1">
      <c r="A22" t="inlineStr">
        <is>
          <t>A 25054-2026</t>
        </is>
      </c>
      <c r="B22" s="1" t="n">
        <v>46174</v>
      </c>
      <c r="C22" s="1" t="n">
        <v>46193</v>
      </c>
      <c r="D22" t="inlineStr">
        <is>
          <t>SKÅNE LÄN</t>
        </is>
      </c>
      <c r="E22" t="inlineStr">
        <is>
          <t>SVEDALA</t>
        </is>
      </c>
      <c r="G22" t="n">
        <v>3.8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Fransig jordstjärna</t>
        </is>
      </c>
      <c r="S22">
        <f>HYPERLINK("https://klasma.github.io/Logging_1263/artfynd/A 25054-2026 artfynd.xlsx", "A 25054-2026")</f>
        <v/>
      </c>
      <c r="T22">
        <f>HYPERLINK("https://klasma.github.io/Logging_1263/kartor/A 25054-2026 karta.png", "A 25054-2026")</f>
        <v/>
      </c>
      <c r="V22">
        <f>HYPERLINK("https://klasma.github.io/Logging_1263/klagomål/A 25054-2026 FSC-klagomål.docx", "A 25054-2026")</f>
        <v/>
      </c>
      <c r="W22">
        <f>HYPERLINK("https://klasma.github.io/Logging_1263/klagomålsmail/A 25054-2026 FSC-klagomål mail.docx", "A 25054-2026")</f>
        <v/>
      </c>
      <c r="X22">
        <f>HYPERLINK("https://klasma.github.io/Logging_1263/tillsyn/A 25054-2026 tillsynsbegäran.docx", "A 25054-2026")</f>
        <v/>
      </c>
      <c r="Y22">
        <f>HYPERLINK("https://klasma.github.io/Logging_1263/tillsynsmail/A 25054-2026 tillsynsbegäran mail.docx", "A 25054-2026")</f>
        <v/>
      </c>
    </row>
    <row r="23" ht="15" customHeight="1">
      <c r="A23" t="inlineStr">
        <is>
          <t>A 27112-2022</t>
        </is>
      </c>
      <c r="B23" s="1" t="n">
        <v>44741</v>
      </c>
      <c r="C23" s="1" t="n">
        <v>46193</v>
      </c>
      <c r="D23" t="inlineStr">
        <is>
          <t>SKÅNE LÄN</t>
        </is>
      </c>
      <c r="E23" t="inlineStr">
        <is>
          <t>SVEDALA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21072-2022</t>
        </is>
      </c>
      <c r="B24" s="1" t="n">
        <v>44704</v>
      </c>
      <c r="C24" s="1" t="n">
        <v>46193</v>
      </c>
      <c r="D24" t="inlineStr">
        <is>
          <t>SKÅNE LÄN</t>
        </is>
      </c>
      <c r="E24" t="inlineStr">
        <is>
          <t>SVEDALA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46193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</v>
      </c>
      <c r="C26" s="1" t="n">
        <v>46193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</v>
      </c>
      <c r="C27" s="1" t="n">
        <v>46193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46193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29030-2023</t>
        </is>
      </c>
      <c r="B29" s="1" t="n">
        <v>45104</v>
      </c>
      <c r="C29" s="1" t="n">
        <v>46193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54282-2023</t>
        </is>
      </c>
      <c r="B30" s="1" t="n">
        <v>45232</v>
      </c>
      <c r="C30" s="1" t="n">
        <v>46193</v>
      </c>
      <c r="D30" t="inlineStr">
        <is>
          <t>SKÅNE LÄN</t>
        </is>
      </c>
      <c r="E30" t="inlineStr">
        <is>
          <t>SVEDALA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59432-2022</t>
        </is>
      </c>
      <c r="B31" s="1" t="n">
        <v>44907</v>
      </c>
      <c r="C31" s="1" t="n">
        <v>46193</v>
      </c>
      <c r="D31" t="inlineStr">
        <is>
          <t>SKÅNE LÄN</t>
        </is>
      </c>
      <c r="E31" t="inlineStr">
        <is>
          <t>SVEDALA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57798-2022</t>
        </is>
      </c>
      <c r="B32" s="1" t="n">
        <v>44897</v>
      </c>
      <c r="C32" s="1" t="n">
        <v>46193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57803-2022</t>
        </is>
      </c>
      <c r="B33" s="1" t="n">
        <v>44897</v>
      </c>
      <c r="C33" s="1" t="n">
        <v>46193</v>
      </c>
      <c r="D33" t="inlineStr">
        <is>
          <t>SKÅNE LÄN</t>
        </is>
      </c>
      <c r="E33" t="inlineStr">
        <is>
          <t>SVEDALA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15577-2024</t>
        </is>
      </c>
      <c r="B34" s="1" t="n">
        <v>45401</v>
      </c>
      <c r="C34" s="1" t="n">
        <v>46193</v>
      </c>
      <c r="D34" t="inlineStr">
        <is>
          <t>SKÅNE LÄN</t>
        </is>
      </c>
      <c r="E34" t="inlineStr">
        <is>
          <t>SVEDALA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25603-2024</t>
        </is>
      </c>
      <c r="B35" s="1" t="n">
        <v>45463</v>
      </c>
      <c r="C35" s="1" t="n">
        <v>46193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31701-2023</t>
        </is>
      </c>
      <c r="B36" s="1" t="n">
        <v>45117</v>
      </c>
      <c r="C36" s="1" t="n">
        <v>46193</v>
      </c>
      <c r="D36" t="inlineStr">
        <is>
          <t>SKÅNE LÄN</t>
        </is>
      </c>
      <c r="E36" t="inlineStr">
        <is>
          <t>SVEDALA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31393-2021</t>
        </is>
      </c>
      <c r="B37" s="1" t="n">
        <v>44368</v>
      </c>
      <c r="C37" s="1" t="n">
        <v>46193</v>
      </c>
      <c r="D37" t="inlineStr">
        <is>
          <t>SKÅNE LÄN</t>
        </is>
      </c>
      <c r="E37" t="inlineStr">
        <is>
          <t>SVEDALA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31693-2023</t>
        </is>
      </c>
      <c r="B38" s="1" t="n">
        <v>45117</v>
      </c>
      <c r="C38" s="1" t="n">
        <v>46193</v>
      </c>
      <c r="D38" t="inlineStr">
        <is>
          <t>SKÅNE LÄN</t>
        </is>
      </c>
      <c r="E38" t="inlineStr">
        <is>
          <t>SVEDALA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46193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19190-2023</t>
        </is>
      </c>
      <c r="B40" s="1" t="n">
        <v>45048</v>
      </c>
      <c r="C40" s="1" t="n">
        <v>46193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18888-2024</t>
        </is>
      </c>
      <c r="B41" s="1" t="n">
        <v>45427</v>
      </c>
      <c r="C41" s="1" t="n">
        <v>46193</v>
      </c>
      <c r="D41" t="inlineStr">
        <is>
          <t>SKÅNE LÄN</t>
        </is>
      </c>
      <c r="E41" t="inlineStr">
        <is>
          <t>SVEDALA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16199-2024</t>
        </is>
      </c>
      <c r="B42" s="1" t="n">
        <v>45406</v>
      </c>
      <c r="C42" s="1" t="n">
        <v>46193</v>
      </c>
      <c r="D42" t="inlineStr">
        <is>
          <t>SKÅNE LÄN</t>
        </is>
      </c>
      <c r="E42" t="inlineStr">
        <is>
          <t>SVEDALA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54580-2023</t>
        </is>
      </c>
      <c r="B43" s="1" t="n">
        <v>45233</v>
      </c>
      <c r="C43" s="1" t="n">
        <v>46193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51318-2025</t>
        </is>
      </c>
      <c r="B44" s="1" t="n">
        <v>45950</v>
      </c>
      <c r="C44" s="1" t="n">
        <v>46193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29817-2025</t>
        </is>
      </c>
      <c r="B45" s="1" t="n">
        <v>45825</v>
      </c>
      <c r="C45" s="1" t="n">
        <v>46193</v>
      </c>
      <c r="D45" t="inlineStr">
        <is>
          <t>SKÅNE LÄN</t>
        </is>
      </c>
      <c r="E45" t="inlineStr">
        <is>
          <t>SVEDALA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12953-2025</t>
        </is>
      </c>
      <c r="B46" s="1" t="n">
        <v>45734</v>
      </c>
      <c r="C46" s="1" t="n">
        <v>46193</v>
      </c>
      <c r="D46" t="inlineStr">
        <is>
          <t>SKÅNE LÄN</t>
        </is>
      </c>
      <c r="E46" t="inlineStr">
        <is>
          <t>SVEDALA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19268-2024</t>
        </is>
      </c>
      <c r="B47" s="1" t="n">
        <v>45428</v>
      </c>
      <c r="C47" s="1" t="n">
        <v>46193</v>
      </c>
      <c r="D47" t="inlineStr">
        <is>
          <t>SKÅNE LÄN</t>
        </is>
      </c>
      <c r="E47" t="inlineStr">
        <is>
          <t>SVEDALA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54284-2023</t>
        </is>
      </c>
      <c r="B48" s="1" t="n">
        <v>45232</v>
      </c>
      <c r="C48" s="1" t="n">
        <v>46193</v>
      </c>
      <c r="D48" t="inlineStr">
        <is>
          <t>SKÅNE LÄN</t>
        </is>
      </c>
      <c r="E48" t="inlineStr">
        <is>
          <t>SVEDALA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27844-2026</t>
        </is>
      </c>
      <c r="B49" s="1" t="n">
        <v>46191</v>
      </c>
      <c r="C49" s="1" t="n">
        <v>46193</v>
      </c>
      <c r="D49" t="inlineStr">
        <is>
          <t>SKÅNE LÄN</t>
        </is>
      </c>
      <c r="E49" t="inlineStr">
        <is>
          <t>SVEDALA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64060-2025</t>
        </is>
      </c>
      <c r="B50" s="1" t="n">
        <v>46021</v>
      </c>
      <c r="C50" s="1" t="n">
        <v>46193</v>
      </c>
      <c r="D50" t="inlineStr">
        <is>
          <t>SKÅNE LÄN</t>
        </is>
      </c>
      <c r="E50" t="inlineStr">
        <is>
          <t>SVEDALA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56202-2023</t>
        </is>
      </c>
      <c r="B51" s="1" t="n">
        <v>45240</v>
      </c>
      <c r="C51" s="1" t="n">
        <v>46193</v>
      </c>
      <c r="D51" t="inlineStr">
        <is>
          <t>SKÅNE LÄN</t>
        </is>
      </c>
      <c r="E51" t="inlineStr">
        <is>
          <t>SVEDALA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46193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64049-2025</t>
        </is>
      </c>
      <c r="B53" s="1" t="n">
        <v>46021</v>
      </c>
      <c r="C53" s="1" t="n">
        <v>46193</v>
      </c>
      <c r="D53" t="inlineStr">
        <is>
          <t>SKÅNE LÄN</t>
        </is>
      </c>
      <c r="E53" t="inlineStr">
        <is>
          <t>SVEDALA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64051-2025</t>
        </is>
      </c>
      <c r="B54" s="1" t="n">
        <v>46021</v>
      </c>
      <c r="C54" s="1" t="n">
        <v>46193</v>
      </c>
      <c r="D54" t="inlineStr">
        <is>
          <t>SKÅNE LÄN</t>
        </is>
      </c>
      <c r="E54" t="inlineStr">
        <is>
          <t>SVEDALA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64055-2025</t>
        </is>
      </c>
      <c r="B55" s="1" t="n">
        <v>46021</v>
      </c>
      <c r="C55" s="1" t="n">
        <v>46193</v>
      </c>
      <c r="D55" t="inlineStr">
        <is>
          <t>SKÅNE LÄN</t>
        </is>
      </c>
      <c r="E55" t="inlineStr">
        <is>
          <t>SVEDALA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64058-2025</t>
        </is>
      </c>
      <c r="B56" s="1" t="n">
        <v>46021</v>
      </c>
      <c r="C56" s="1" t="n">
        <v>46193</v>
      </c>
      <c r="D56" t="inlineStr">
        <is>
          <t>SKÅNE LÄN</t>
        </is>
      </c>
      <c r="E56" t="inlineStr">
        <is>
          <t>SVEDALA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46193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27113-2022</t>
        </is>
      </c>
      <c r="B58" s="1" t="n">
        <v>44741</v>
      </c>
      <c r="C58" s="1" t="n">
        <v>46193</v>
      </c>
      <c r="D58" t="inlineStr">
        <is>
          <t>SKÅNE LÄN</t>
        </is>
      </c>
      <c r="E58" t="inlineStr">
        <is>
          <t>SVEDALA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25275-2026</t>
        </is>
      </c>
      <c r="B59" s="1" t="n">
        <v>46176</v>
      </c>
      <c r="C59" s="1" t="n">
        <v>46193</v>
      </c>
      <c r="D59" t="inlineStr">
        <is>
          <t>SKÅNE LÄN</t>
        </is>
      </c>
      <c r="E59" t="inlineStr">
        <is>
          <t>SVEDALA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26080-2026</t>
        </is>
      </c>
      <c r="B60" s="1" t="n">
        <v>46181</v>
      </c>
      <c r="C60" s="1" t="n">
        <v>46193</v>
      </c>
      <c r="D60" t="inlineStr">
        <is>
          <t>SKÅNE LÄN</t>
        </is>
      </c>
      <c r="E60" t="inlineStr">
        <is>
          <t>SVEDALA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26073-2026</t>
        </is>
      </c>
      <c r="B61" s="1" t="n">
        <v>46181</v>
      </c>
      <c r="C61" s="1" t="n">
        <v>46193</v>
      </c>
      <c r="D61" t="inlineStr">
        <is>
          <t>SKÅNE LÄN</t>
        </is>
      </c>
      <c r="E61" t="inlineStr">
        <is>
          <t>SVEDALA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2026-06-20T00:48:41Z</dcterms:created>
  <dcterms:modified xmlns:dcterms="http://purl.org/dc/terms/" xmlns:xsi="http://www.w3.org/2001/XMLSchema-instance" xsi:type="dcterms:W3CDTF">2026-06-20T00:48:41Z</dcterms:modified>
</cp:coreProperties>
</file>