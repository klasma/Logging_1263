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46259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46259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46259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2482-2025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46259</v>
      </c>
      <c r="F12" t="inlineStr">
        <is>
          <t>SKÅNE LÄN</t>
        </is>
      </c>
      <c r="G12" t="inlineStr">
        <is>
          <t>SVEDALA</t>
        </is>
      </c>
      <c r="I12" t="n">
        <v>0.5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Korallticka
Ekoxe</t>
        </is>
      </c>
      <c r="W12">
        <f>HYPERLINK("https://klasma.github.io/Logging_1263/artfynd/A 2482-2025 artfynd.xlsx", "A 2482-2025")</f>
        <v/>
      </c>
      <c r="X12">
        <f>HYPERLINK("https://klasma.github.io/Logging_1263/kartor/A 2482-2025 karta.png", "A 2482-2025")</f>
        <v/>
      </c>
      <c r="Y12">
        <f>HYPERLINK("https://klasma.github.io/Logging_1263/kartor_geotiff/A 2482-2025 georefererad karta.tif", "A 2482-2025")</f>
        <v/>
      </c>
      <c r="AA12">
        <f>HYPERLINK("https://klasma.github.io/Logging_1263/klagomål/A 2482-2025 FSC-klagomål.docx", "A 2482-2025")</f>
        <v/>
      </c>
      <c r="AB12">
        <f>HYPERLINK("https://klasma.github.io/Logging_1263/klagomålsmail/A 2482-2025 FSC-klagomål mail.docx", "A 2482-2025")</f>
        <v/>
      </c>
      <c r="AC12">
        <f>HYPERLINK("https://klasma.github.io/Logging_1263/tillsyn/A 2482-2025 tillsynsbegäran.docx", "A 2482-2025")</f>
        <v/>
      </c>
      <c r="AD12">
        <f>HYPERLINK("https://klasma.github.io/Logging_1263/tillsynsmail/A 2482-2025 tillsynsbegäran mail.docx", "A 2482-2025")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46259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46259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46259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46259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46259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46259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46259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46259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46259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46259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19190-2023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45048</v>
      </c>
      <c r="E27" s="1" t="n">
        <v>46259</v>
      </c>
      <c r="F27" t="inlineStr">
        <is>
          <t>SKÅNE LÄN</t>
        </is>
      </c>
      <c r="G27" t="inlineStr">
        <is>
          <t>SVEDALA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46259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16199-2024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45406</v>
      </c>
      <c r="E29" s="1" t="n">
        <v>46259</v>
      </c>
      <c r="F29" t="inlineStr">
        <is>
          <t>SKÅNE LÄN</t>
        </is>
      </c>
      <c r="G29" t="inlineStr">
        <is>
          <t>SVEDALA</t>
        </is>
      </c>
      <c r="I29" t="n">
        <v>13.5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45233</v>
      </c>
      <c r="E30" s="1" t="n">
        <v>46259</v>
      </c>
      <c r="F30" t="inlineStr">
        <is>
          <t>SKÅNE LÄN</t>
        </is>
      </c>
      <c r="G30" t="inlineStr">
        <is>
          <t>SVEDALA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46259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46259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46259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13344-2023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45005</v>
      </c>
      <c r="E34" s="1" t="n">
        <v>46259</v>
      </c>
      <c r="F34" t="inlineStr">
        <is>
          <t>SKÅNE LÄN</t>
        </is>
      </c>
      <c r="G34" t="inlineStr">
        <is>
          <t>SVEDALA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67456-2021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46259</v>
      </c>
      <c r="F35" t="inlineStr">
        <is>
          <t>SKÅNE LÄN</t>
        </is>
      </c>
      <c r="G35" t="inlineStr">
        <is>
          <t>SVEDALA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16690-2023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45030</v>
      </c>
      <c r="E36" s="1" t="n">
        <v>46259</v>
      </c>
      <c r="F36" t="inlineStr">
        <is>
          <t>SKÅNE LÄN</t>
        </is>
      </c>
      <c r="G36" t="inlineStr">
        <is>
          <t>SVEDALA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46259</v>
      </c>
      <c r="F37" t="inlineStr">
        <is>
          <t>SKÅNE LÄN</t>
        </is>
      </c>
      <c r="G37" t="inlineStr">
        <is>
          <t>SVEDALA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45232</v>
      </c>
      <c r="E38" s="1" t="n">
        <v>46259</v>
      </c>
      <c r="F38" t="inlineStr">
        <is>
          <t>SKÅNE LÄN</t>
        </is>
      </c>
      <c r="G38" t="inlineStr">
        <is>
          <t>SVEDALA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59432-2022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44907</v>
      </c>
      <c r="E39" s="1" t="n">
        <v>46259</v>
      </c>
      <c r="F39" t="inlineStr">
        <is>
          <t>SKÅNE LÄN</t>
        </is>
      </c>
      <c r="G39" t="inlineStr">
        <is>
          <t>SVEDALA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57798-2022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46259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57803-2022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44897</v>
      </c>
      <c r="E41" s="1" t="n">
        <v>46259</v>
      </c>
      <c r="F41" t="inlineStr">
        <is>
          <t>SKÅNE LÄN</t>
        </is>
      </c>
      <c r="G41" t="inlineStr">
        <is>
          <t>SVEDALA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46259</v>
      </c>
      <c r="F42" t="inlineStr">
        <is>
          <t>SKÅNE LÄN</t>
        </is>
      </c>
      <c r="G42" t="inlineStr">
        <is>
          <t>SVEDALA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56202-2023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45240</v>
      </c>
      <c r="E43" s="1" t="n">
        <v>46259</v>
      </c>
      <c r="F43" t="inlineStr">
        <is>
          <t>SKÅNE LÄN</t>
        </is>
      </c>
      <c r="G43" t="inlineStr">
        <is>
          <t>SVEDALA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45232</v>
      </c>
      <c r="E44" s="1" t="n">
        <v>46259</v>
      </c>
      <c r="F44" t="inlineStr">
        <is>
          <t>SKÅNE LÄN</t>
        </is>
      </c>
      <c r="G44" t="inlineStr">
        <is>
          <t>SVEDALA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15277-2024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45400</v>
      </c>
      <c r="E45" s="1" t="n">
        <v>46259</v>
      </c>
      <c r="F45" t="inlineStr">
        <is>
          <t>SKÅNE LÄN</t>
        </is>
      </c>
      <c r="G45" t="inlineStr">
        <is>
          <t>SVEDALA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27113-2022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44741</v>
      </c>
      <c r="E46" s="1" t="n">
        <v>46259</v>
      </c>
      <c r="F46" t="inlineStr">
        <is>
          <t>SKÅNE LÄN</t>
        </is>
      </c>
      <c r="G46" t="inlineStr">
        <is>
          <t>SVEDALA</t>
        </is>
      </c>
      <c r="I46" t="n">
        <v>8.9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51318-2025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45950</v>
      </c>
      <c r="E47" s="1" t="n">
        <v>46259</v>
      </c>
      <c r="F47" t="inlineStr">
        <is>
          <t>SKÅNE LÄN</t>
        </is>
      </c>
      <c r="G47" t="inlineStr">
        <is>
          <t>SVEDALA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29030-2023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46259</v>
      </c>
      <c r="F48" t="inlineStr">
        <is>
          <t>SKÅNE LÄN</t>
        </is>
      </c>
      <c r="G48" t="inlineStr">
        <is>
          <t>SVEDALA</t>
        </is>
      </c>
      <c r="I48" t="n">
        <v>8.1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46259</v>
      </c>
      <c r="F49" t="inlineStr">
        <is>
          <t>SKÅNE LÄN</t>
        </is>
      </c>
      <c r="G49" t="inlineStr">
        <is>
          <t>SVEDALA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27844-2026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46259</v>
      </c>
      <c r="F50" t="inlineStr">
        <is>
          <t>SKÅNE LÄN</t>
        </is>
      </c>
      <c r="G50" t="inlineStr">
        <is>
          <t>SVEDALA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26073-2026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46259</v>
      </c>
      <c r="F51" t="inlineStr">
        <is>
          <t>SKÅNE LÄN</t>
        </is>
      </c>
      <c r="G51" t="inlineStr">
        <is>
          <t>SVEDALA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46259</v>
      </c>
      <c r="F52" t="inlineStr">
        <is>
          <t>SKÅNE LÄN</t>
        </is>
      </c>
      <c r="G52" t="inlineStr">
        <is>
          <t>SVEDALA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26080-2026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46259</v>
      </c>
      <c r="F53" t="inlineStr">
        <is>
          <t>SKÅNE LÄN</t>
        </is>
      </c>
      <c r="G53" t="inlineStr">
        <is>
          <t>SVEDALA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46259</v>
      </c>
      <c r="F54" t="inlineStr">
        <is>
          <t>SKÅNE LÄN</t>
        </is>
      </c>
      <c r="G54" t="inlineStr">
        <is>
          <t>SVEDALA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18888-2024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45427</v>
      </c>
      <c r="E55" s="1" t="n">
        <v>46259</v>
      </c>
      <c r="F55" t="inlineStr">
        <is>
          <t>SKÅNE LÄN</t>
        </is>
      </c>
      <c r="G55" t="inlineStr">
        <is>
          <t>SVEDALA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46259</v>
      </c>
      <c r="F56" t="inlineStr">
        <is>
          <t>SKÅNE LÄN</t>
        </is>
      </c>
      <c r="G56" t="inlineStr">
        <is>
          <t>SVEDALA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46259</v>
      </c>
      <c r="F57" t="inlineStr">
        <is>
          <t>SKÅNE LÄN</t>
        </is>
      </c>
      <c r="G57" t="inlineStr">
        <is>
          <t>SVEDALA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46259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64058-2025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46259</v>
      </c>
      <c r="F59" t="inlineStr">
        <is>
          <t>SKÅNE LÄN</t>
        </is>
      </c>
      <c r="G59" t="inlineStr">
        <is>
          <t>SVEDALA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46259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46259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2026-08-25T01:53:10Z</dcterms:created>
  <dcterms:modified xmlns:dcterms="http://purl.org/dc/terms/" xmlns:xsi="http://www.w3.org/2001/XMLSchema-instance" xsi:type="dcterms:W3CDTF">2026-08-25T01:53:11Z</dcterms:modified>
</cp:coreProperties>
</file>