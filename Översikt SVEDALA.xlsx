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46302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46302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46302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46302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46302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46302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46302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46302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46302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46302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9570-2026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46070</v>
      </c>
      <c r="E12" s="1" t="n">
        <v>46302</v>
      </c>
      <c r="F12" t="inlineStr">
        <is>
          <t>SKÅNE LÄN</t>
        </is>
      </c>
      <c r="G12" t="inlineStr">
        <is>
          <t>SVEDALA</t>
        </is>
      </c>
      <c r="I12" t="n">
        <v>6.6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9570-2026 artfynd.xlsx", "A 9570-2026")</f>
        <v/>
      </c>
      <c r="X12">
        <f>HYPERLINK("https://klasma.github.io/Logging_1263/kartor/A 9570-2026 karta.png", "A 9570-2026")</f>
        <v/>
      </c>
      <c r="Y12">
        <f>HYPERLINK("https://klasma.github.io/Logging_1263/kartor_geotiff/A 9570-2026 georefererad karta.tif", "A 9570-2026")</f>
        <v/>
      </c>
      <c r="AA12">
        <f>HYPERLINK("https://klasma.github.io/Logging_1263/klagomål/A 9570-2026 FSC-klagomål.docx", "A 9570-2026")</f>
        <v/>
      </c>
      <c r="AB12">
        <f>HYPERLINK("https://klasma.github.io/Logging_1263/klagomålsmail/A 9570-2026 FSC-klagomål mail.docx", "A 9570-2026")</f>
        <v/>
      </c>
      <c r="AC12">
        <f>HYPERLINK("https://klasma.github.io/Logging_1263/tillsyn/A 9570-2026 tillsynsbegäran.docx", "A 9570-2026")</f>
        <v/>
      </c>
      <c r="AD12">
        <f>HYPERLINK("https://klasma.github.io/Logging_1263/tillsynsmail/A 9570-2026 tillsynsbegäran mail.docx", "A 9570-2026")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46302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46302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46302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46302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46302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46302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46302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46302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46302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46302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46302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46302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A 15582-2024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46302</v>
      </c>
      <c r="F26" t="inlineStr">
        <is>
          <t>SKÅNE LÄN</t>
        </is>
      </c>
      <c r="G26" t="inlineStr">
        <is>
          <t>SVEDALA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HYPERLINK("https://klasma.github.io/Logging_1263/artfynd/A 15582-2024 artfynd.xlsx", "A 15582-2024")</f>
        <v/>
      </c>
      <c r="X26">
        <f>HYPERLINK("https://klasma.github.io/Logging_1263/kartor/A 15582-2024 karta.png", "A 15582-2024")</f>
        <v/>
      </c>
      <c r="Y26">
        <f>HYPERLINK("https://klasma.github.io/Logging_1263/kartor_geotiff/A 15582-2024 georefererad karta.tif", "A 15582-2024")</f>
        <v/>
      </c>
      <c r="AA26">
        <f>HYPERLINK("https://klasma.github.io/Logging_1263/klagomål/A 15582-2024 FSC-klagomål.docx", "A 15582-2024")</f>
        <v/>
      </c>
      <c r="AB26">
        <f>HYPERLINK("https://klasma.github.io/Logging_1263/klagomålsmail/A 15582-2024 FSC-klagomål mail.docx", "A 15582-2024")</f>
        <v/>
      </c>
      <c r="AC26">
        <f>HYPERLINK("https://klasma.github.io/Logging_1263/tillsyn/A 15582-2024 tillsynsbegäran.docx", "A 15582-2024")</f>
        <v/>
      </c>
      <c r="AD26">
        <f>HYPERLINK("https://klasma.github.io/Logging_1263/tillsynsmail/A 15582-2024 tillsynsbegäran mail.docx", "A 15582-2024")</f>
        <v/>
      </c>
      <c r="AE26">
        <f>HYPERLINK("https://klasma.github.io/Logging_1263/fåglar/A 15582-2024 prioriterade fågelarter.docx", "A 15582-2024")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46302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46302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46302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46302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46302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46302</v>
      </c>
      <c r="F32" t="inlineStr">
        <is>
          <t>SKÅNE LÄN</t>
        </is>
      </c>
      <c r="G32" t="inlineStr">
        <is>
          <t>SVEDALA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46302</v>
      </c>
      <c r="F33" t="inlineStr">
        <is>
          <t>SKÅNE LÄN</t>
        </is>
      </c>
      <c r="G33" t="inlineStr">
        <is>
          <t>SVEDALA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46302</v>
      </c>
      <c r="F34" t="inlineStr">
        <is>
          <t>SKÅNE LÄN</t>
        </is>
      </c>
      <c r="G34" t="inlineStr">
        <is>
          <t>SVEDALA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46302</v>
      </c>
      <c r="F35" t="inlineStr">
        <is>
          <t>SKÅNE LÄN</t>
        </is>
      </c>
      <c r="G35" t="inlineStr">
        <is>
          <t>SVEDALA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59432-2022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46302</v>
      </c>
      <c r="F36" t="inlineStr">
        <is>
          <t>SKÅNE LÄN</t>
        </is>
      </c>
      <c r="G36" t="inlineStr">
        <is>
          <t>SVEDALA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25603-2024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45463</v>
      </c>
      <c r="E37" s="1" t="n">
        <v>46302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46302</v>
      </c>
      <c r="F38" t="inlineStr">
        <is>
          <t>SKÅNE LÄN</t>
        </is>
      </c>
      <c r="G38" t="inlineStr">
        <is>
          <t>SVEDALA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46302</v>
      </c>
      <c r="F39" t="inlineStr">
        <is>
          <t>SKÅNE LÄN</t>
        </is>
      </c>
      <c r="G39" t="inlineStr">
        <is>
          <t>SVEDALA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46191</v>
      </c>
      <c r="E40" s="1" t="n">
        <v>46302</v>
      </c>
      <c r="F40" t="inlineStr">
        <is>
          <t>SKÅNE LÄN</t>
        </is>
      </c>
      <c r="G40" t="inlineStr">
        <is>
          <t>SVEDALA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46302</v>
      </c>
      <c r="F41" t="inlineStr">
        <is>
          <t>SKÅNE LÄN</t>
        </is>
      </c>
      <c r="G41" t="inlineStr">
        <is>
          <t>SVEDALA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46302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46302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46302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46302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46302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46286</v>
      </c>
      <c r="E47" s="1" t="n">
        <v>46302</v>
      </c>
      <c r="F47" t="inlineStr">
        <is>
          <t>SKÅNE LÄN</t>
        </is>
      </c>
      <c r="G47" t="inlineStr">
        <is>
          <t>SVEDALA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38845-2026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46286</v>
      </c>
      <c r="E48" s="1" t="n">
        <v>46302</v>
      </c>
      <c r="F48" t="inlineStr">
        <is>
          <t>SKÅNE LÄN</t>
        </is>
      </c>
      <c r="G48" t="inlineStr">
        <is>
          <t>SVEDALA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46302</v>
      </c>
      <c r="F49" t="inlineStr">
        <is>
          <t>SKÅNE LÄN</t>
        </is>
      </c>
      <c r="G49" t="inlineStr">
        <is>
          <t>SVEDALA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46286</v>
      </c>
      <c r="E50" s="1" t="n">
        <v>46302</v>
      </c>
      <c r="F50" t="inlineStr">
        <is>
          <t>SKÅNE LÄN</t>
        </is>
      </c>
      <c r="G50" t="inlineStr">
        <is>
          <t>SVEDALA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46286</v>
      </c>
      <c r="E51" s="1" t="n">
        <v>46302</v>
      </c>
      <c r="F51" t="inlineStr">
        <is>
          <t>SKÅNE LÄN</t>
        </is>
      </c>
      <c r="G51" t="inlineStr">
        <is>
          <t>SVEDALA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46302</v>
      </c>
      <c r="F52" t="inlineStr">
        <is>
          <t>SKÅNE LÄN</t>
        </is>
      </c>
      <c r="G52" t="inlineStr">
        <is>
          <t>SVEDALA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46302</v>
      </c>
      <c r="F53" t="inlineStr">
        <is>
          <t>SKÅNE LÄN</t>
        </is>
      </c>
      <c r="G53" t="inlineStr">
        <is>
          <t>SVEDALA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15577-2024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45401</v>
      </c>
      <c r="E54" s="1" t="n">
        <v>46302</v>
      </c>
      <c r="F54" t="inlineStr">
        <is>
          <t>SKÅNE LÄN</t>
        </is>
      </c>
      <c r="G54" t="inlineStr">
        <is>
          <t>SVEDALA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46302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46302</v>
      </c>
      <c r="F56" t="inlineStr">
        <is>
          <t>SKÅNE LÄN</t>
        </is>
      </c>
      <c r="G56" t="inlineStr">
        <is>
          <t>SVEDALA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46302</v>
      </c>
      <c r="F57" t="inlineStr">
        <is>
          <t>SKÅNE LÄN</t>
        </is>
      </c>
      <c r="G57" t="inlineStr">
        <is>
          <t>SVEDALA</t>
        </is>
      </c>
      <c r="I57" t="n">
        <v>8.9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46302</v>
      </c>
      <c r="F58" t="inlineStr">
        <is>
          <t>SKÅNE LÄN</t>
        </is>
      </c>
      <c r="G58" t="inlineStr">
        <is>
          <t>SVEDALA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46302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13344-2023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45005</v>
      </c>
      <c r="E60" s="1" t="n">
        <v>46302</v>
      </c>
      <c r="F60" t="inlineStr">
        <is>
          <t>SKÅNE LÄN</t>
        </is>
      </c>
      <c r="G60" t="inlineStr">
        <is>
          <t>SVEDALA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19190-2023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45048</v>
      </c>
      <c r="E61" s="1" t="n">
        <v>46302</v>
      </c>
      <c r="F61" t="inlineStr">
        <is>
          <t>SKÅNE LÄN</t>
        </is>
      </c>
      <c r="G61" t="inlineStr">
        <is>
          <t>SVEDALA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46302</v>
      </c>
      <c r="F62" t="inlineStr">
        <is>
          <t>SKÅNE LÄN</t>
        </is>
      </c>
      <c r="G62" t="inlineStr">
        <is>
          <t>SVEDALA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46302</v>
      </c>
      <c r="F63" t="inlineStr">
        <is>
          <t>SKÅNE LÄN</t>
        </is>
      </c>
      <c r="G63" t="inlineStr">
        <is>
          <t>SVEDALA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45030</v>
      </c>
      <c r="E64" s="1" t="n">
        <v>46302</v>
      </c>
      <c r="F64" t="inlineStr">
        <is>
          <t>SKÅNE LÄN</t>
        </is>
      </c>
      <c r="G64" t="inlineStr">
        <is>
          <t>SVEDALA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45427</v>
      </c>
      <c r="E65" s="1" t="n">
        <v>46302</v>
      </c>
      <c r="F65" t="inlineStr">
        <is>
          <t>SKÅNE LÄN</t>
        </is>
      </c>
      <c r="G65" t="inlineStr">
        <is>
          <t>SVEDALA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46302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46302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2026-10-07T02:05:01Z</dcterms:created>
  <dcterms:modified xmlns:dcterms="http://purl.org/dc/terms/" xmlns:xsi="http://www.w3.org/2001/XMLSchema-instance" xsi:type="dcterms:W3CDTF">2026-10-07T02:05:01Z</dcterms:modified>
</cp:coreProperties>
</file>