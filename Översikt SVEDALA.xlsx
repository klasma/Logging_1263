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Y8">
        <f>HYPERLINK("https://klasma.github.io/Logging_1263/klagomål/A 14150-2023 FSC-klagomål.docx", "A 14150-2023")</f>
        <v/>
      </c>
      <c r="Z8">
        <f>HYPERLINK("https://klasma.github.io/Logging_1263/klagomålsmail/A 14150-2023 FSC-klagomål mail.docx", "A 14150-2023")</f>
        <v/>
      </c>
      <c r="AA8">
        <f>HYPERLINK("https://klasma.github.io/Logging_1263/tillsyn/A 14150-2023 tillsynsbegäran.docx", "A 14150-2023")</f>
        <v/>
      </c>
      <c r="AB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Y9">
        <f>HYPERLINK("https://klasma.github.io/Logging_1263/klagomål/A 31700-2023 FSC-klagomål.docx", "A 31700-2023")</f>
        <v/>
      </c>
      <c r="Z9">
        <f>HYPERLINK("https://klasma.github.io/Logging_1263/klagomålsmail/A 31700-2023 FSC-klagomål mail.docx", "A 31700-2023")</f>
        <v/>
      </c>
      <c r="AA9">
        <f>HYPERLINK("https://klasma.github.io/Logging_1263/tillsyn/A 31700-2023 tillsynsbegäran.docx", "A 31700-2023")</f>
        <v/>
      </c>
      <c r="AB9">
        <f>HYPERLINK("https://klasma.github.io/Logging_1263/tillsynsmail/A 31700-2023 tillsynsbegäran mail.docx", "A 31700-2023")</f>
        <v/>
      </c>
      <c r="AC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46222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s="2" t="inlineStr">
        <is>
          <t>Skogsalm
Igelkott</t>
        </is>
      </c>
      <c r="V11">
        <f>HYPERLINK("https://klasma.github.io/Logging_1263/artfynd/A 15565-2024 artfynd.xlsx", "A 15565-2024")</f>
        <v/>
      </c>
      <c r="W11">
        <f>HYPERLINK("https://klasma.github.io/Logging_1263/kartor/A 15565-2024 karta.png", "A 15565-2024")</f>
        <v/>
      </c>
      <c r="Y11">
        <f>HYPERLINK("https://klasma.github.io/Logging_1263/klagomål/A 15565-2024 FSC-klagomål.docx", "A 15565-2024")</f>
        <v/>
      </c>
      <c r="Z11">
        <f>HYPERLINK("https://klasma.github.io/Logging_1263/klagomålsmail/A 15565-2024 FSC-klagomål mail.docx", "A 15565-2024")</f>
        <v/>
      </c>
      <c r="AA11">
        <f>HYPERLINK("https://klasma.github.io/Logging_1263/tillsyn/A 15565-2024 tillsynsbegäran.docx", "A 15565-2024")</f>
        <v/>
      </c>
      <c r="AB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46222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Lövgroda
Större vattensalamander</t>
        </is>
      </c>
      <c r="V12">
        <f>HYPERLINK("https://klasma.github.io/Logging_1263/artfynd/A 31697-2023 artfynd.xlsx", "A 31697-2023")</f>
        <v/>
      </c>
      <c r="W12">
        <f>HYPERLINK("https://klasma.github.io/Logging_1263/kartor/A 31697-2023 karta.png", "A 31697-2023")</f>
        <v/>
      </c>
      <c r="Y12">
        <f>HYPERLINK("https://klasma.github.io/Logging_1263/klagomål/A 31697-2023 FSC-klagomål.docx", "A 31697-2023")</f>
        <v/>
      </c>
      <c r="Z12">
        <f>HYPERLINK("https://klasma.github.io/Logging_1263/klagomålsmail/A 31697-2023 FSC-klagomål mail.docx", "A 31697-2023")</f>
        <v/>
      </c>
      <c r="AA12">
        <f>HYPERLINK("https://klasma.github.io/Logging_1263/tillsyn/A 31697-2023 tillsynsbegäran.docx", "A 31697-2023")</f>
        <v/>
      </c>
      <c r="AB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46222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Korallticka
Ekoxe</t>
        </is>
      </c>
      <c r="V13">
        <f>HYPERLINK("https://klasma.github.io/Logging_1263/artfynd/A 2482-2025 artfynd.xlsx", "A 2482-2025")</f>
        <v/>
      </c>
      <c r="W13">
        <f>HYPERLINK("https://klasma.github.io/Logging_1263/kartor/A 2482-2025 karta.png", "A 2482-2025")</f>
        <v/>
      </c>
      <c r="Y13">
        <f>HYPERLINK("https://klasma.github.io/Logging_1263/klagomål/A 2482-2025 FSC-klagomål.docx", "A 2482-2025")</f>
        <v/>
      </c>
      <c r="Z13">
        <f>HYPERLINK("https://klasma.github.io/Logging_1263/klagomålsmail/A 2482-2025 FSC-klagomål mail.docx", "A 2482-2025")</f>
        <v/>
      </c>
      <c r="AA13">
        <f>HYPERLINK("https://klasma.github.io/Logging_1263/tillsyn/A 2482-2025 tillsynsbegäran.docx", "A 2482-2025")</f>
        <v/>
      </c>
      <c r="AB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46222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Koralltaggsvamp
Stor revmossa</t>
        </is>
      </c>
      <c r="V14">
        <f>HYPERLINK("https://klasma.github.io/Logging_1263/artfynd/A 58350-2025 artfynd.xlsx", "A 58350-2025")</f>
        <v/>
      </c>
      <c r="W14">
        <f>HYPERLINK("https://klasma.github.io/Logging_1263/kartor/A 58350-2025 karta.png", "A 58350-2025")</f>
        <v/>
      </c>
      <c r="Y14">
        <f>HYPERLINK("https://klasma.github.io/Logging_1263/klagomål/A 58350-2025 FSC-klagomål.docx", "A 58350-2025")</f>
        <v/>
      </c>
      <c r="Z14">
        <f>HYPERLINK("https://klasma.github.io/Logging_1263/klagomålsmail/A 58350-2025 FSC-klagomål mail.docx", "A 58350-2025")</f>
        <v/>
      </c>
      <c r="AA14">
        <f>HYPERLINK("https://klasma.github.io/Logging_1263/tillsyn/A 58350-2025 tillsynsbegäran.docx", "A 58350-2025")</f>
        <v/>
      </c>
      <c r="AB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46222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Lökgroda
Skogsknipprot</t>
        </is>
      </c>
      <c r="V15">
        <f>HYPERLINK("https://klasma.github.io/Logging_1263/artfynd/A 38011-2023 artfynd.xlsx", "A 38011-2023")</f>
        <v/>
      </c>
      <c r="W15">
        <f>HYPERLINK("https://klasma.github.io/Logging_1263/kartor/A 38011-2023 karta.png", "A 38011-2023")</f>
        <v/>
      </c>
      <c r="Y15">
        <f>HYPERLINK("https://klasma.github.io/Logging_1263/klagomål/A 38011-2023 FSC-klagomål.docx", "A 38011-2023")</f>
        <v/>
      </c>
      <c r="Z15">
        <f>HYPERLINK("https://klasma.github.io/Logging_1263/klagomålsmail/A 38011-2023 FSC-klagomål mail.docx", "A 38011-2023")</f>
        <v/>
      </c>
      <c r="AA15">
        <f>HYPERLINK("https://klasma.github.io/Logging_1263/tillsyn/A 38011-2023 tillsynsbegäran.docx", "A 38011-2023")</f>
        <v/>
      </c>
      <c r="AB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46222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Mindre tåtelsmygare
Skogsknipprot</t>
        </is>
      </c>
      <c r="V16">
        <f>HYPERLINK("https://klasma.github.io/Logging_1263/artfynd/A 25022-2026 artfynd.xlsx", "A 25022-2026")</f>
        <v/>
      </c>
      <c r="W16">
        <f>HYPERLINK("https://klasma.github.io/Logging_1263/kartor/A 25022-2026 karta.png", "A 25022-2026")</f>
        <v/>
      </c>
      <c r="Y16">
        <f>HYPERLINK("https://klasma.github.io/Logging_1263/klagomål/A 25022-2026 FSC-klagomål.docx", "A 25022-2026")</f>
        <v/>
      </c>
      <c r="Z16">
        <f>HYPERLINK("https://klasma.github.io/Logging_1263/klagomålsmail/A 25022-2026 FSC-klagomål mail.docx", "A 25022-2026")</f>
        <v/>
      </c>
      <c r="AA16">
        <f>HYPERLINK("https://klasma.github.io/Logging_1263/tillsyn/A 25022-2026 tillsynsbegäran.docx", "A 25022-2026")</f>
        <v/>
      </c>
      <c r="AB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46222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Lövgroda
Större vattensalamander</t>
        </is>
      </c>
      <c r="V17">
        <f>HYPERLINK("https://klasma.github.io/Logging_1263/artfynd/A 9570-2026 artfynd.xlsx", "A 9570-2026")</f>
        <v/>
      </c>
      <c r="W17">
        <f>HYPERLINK("https://klasma.github.io/Logging_1263/kartor/A 9570-2026 karta.png", "A 9570-2026")</f>
        <v/>
      </c>
      <c r="Y17">
        <f>HYPERLINK("https://klasma.github.io/Logging_1263/klagomål/A 9570-2026 FSC-klagomål.docx", "A 9570-2026")</f>
        <v/>
      </c>
      <c r="Z17">
        <f>HYPERLINK("https://klasma.github.io/Logging_1263/klagomålsmail/A 9570-2026 FSC-klagomål mail.docx", "A 9570-2026")</f>
        <v/>
      </c>
      <c r="AA17">
        <f>HYPERLINK("https://klasma.github.io/Logging_1263/tillsyn/A 9570-2026 tillsynsbegäran.docx", "A 9570-2026")</f>
        <v/>
      </c>
      <c r="AB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46222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Trana</t>
        </is>
      </c>
      <c r="V22">
        <f>HYPERLINK("https://klasma.github.io/Logging_1263/artfynd/A 15582-2024 artfynd.xlsx", "A 15582-2024")</f>
        <v/>
      </c>
      <c r="W22">
        <f>HYPERLINK("https://klasma.github.io/Logging_1263/kartor/A 15582-2024 karta.png", "A 15582-2024")</f>
        <v/>
      </c>
      <c r="Y22">
        <f>HYPERLINK("https://klasma.github.io/Logging_1263/klagomål/A 15582-2024 FSC-klagomål.docx", "A 15582-2024")</f>
        <v/>
      </c>
      <c r="Z22">
        <f>HYPERLINK("https://klasma.github.io/Logging_1263/klagomålsmail/A 15582-2024 FSC-klagomål mail.docx", "A 15582-2024")</f>
        <v/>
      </c>
      <c r="AA22">
        <f>HYPERLINK("https://klasma.github.io/Logging_1263/tillsyn/A 15582-2024 tillsynsbegäran.docx", "A 15582-2024")</f>
        <v/>
      </c>
      <c r="AB22">
        <f>HYPERLINK("https://klasma.github.io/Logging_1263/tillsynsmail/A 15582-2024 tillsynsbegäran mail.docx", "A 15582-2024")</f>
        <v/>
      </c>
      <c r="AC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Större grynsnäcka</t>
        </is>
      </c>
      <c r="V23">
        <f>HYPERLINK("https://klasma.github.io/Logging_1263/artfynd/A 16684-2023 artfynd.xlsx", "A 16684-2023")</f>
        <v/>
      </c>
      <c r="W23">
        <f>HYPERLINK("https://klasma.github.io/Logging_1263/kartor/A 16684-2023 karta.png", "A 16684-2023")</f>
        <v/>
      </c>
      <c r="Y23">
        <f>HYPERLINK("https://klasma.github.io/Logging_1263/klagomål/A 16684-2023 FSC-klagomål.docx", "A 16684-2023")</f>
        <v/>
      </c>
      <c r="Z23">
        <f>HYPERLINK("https://klasma.github.io/Logging_1263/klagomålsmail/A 16684-2023 FSC-klagomål mail.docx", "A 16684-2023")</f>
        <v/>
      </c>
      <c r="AA23">
        <f>HYPERLINK("https://klasma.github.io/Logging_1263/tillsyn/A 16684-2023 tillsynsbegäran.docx", "A 16684-2023")</f>
        <v/>
      </c>
      <c r="AB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46222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Svart skogssnigel</t>
        </is>
      </c>
      <c r="V24">
        <f>HYPERLINK("https://klasma.github.io/Logging_1263/artfynd/A 15571-2024 artfynd.xlsx", "A 15571-2024")</f>
        <v/>
      </c>
      <c r="W24">
        <f>HYPERLINK("https://klasma.github.io/Logging_1263/kartor/A 15571-2024 karta.png", "A 15571-2024")</f>
        <v/>
      </c>
      <c r="Y24">
        <f>HYPERLINK("https://klasma.github.io/Logging_1263/klagomål/A 15571-2024 FSC-klagomål.docx", "A 15571-2024")</f>
        <v/>
      </c>
      <c r="Z24">
        <f>HYPERLINK("https://klasma.github.io/Logging_1263/klagomålsmail/A 15571-2024 FSC-klagomål mail.docx", "A 15571-2024")</f>
        <v/>
      </c>
      <c r="AA24">
        <f>HYPERLINK("https://klasma.github.io/Logging_1263/tillsyn/A 15571-2024 tillsynsbegäran.docx", "A 15571-2024")</f>
        <v/>
      </c>
      <c r="AB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46222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Fransig jordstjärna</t>
        </is>
      </c>
      <c r="V25">
        <f>HYPERLINK("https://klasma.github.io/Logging_1263/artfynd/A 25054-2026 artfynd.xlsx", "A 25054-2026")</f>
        <v/>
      </c>
      <c r="W25">
        <f>HYPERLINK("https://klasma.github.io/Logging_1263/kartor/A 25054-2026 karta.png", "A 25054-2026")</f>
        <v/>
      </c>
      <c r="Y25">
        <f>HYPERLINK("https://klasma.github.io/Logging_1263/klagomål/A 25054-2026 FSC-klagomål.docx", "A 25054-2026")</f>
        <v/>
      </c>
      <c r="Z25">
        <f>HYPERLINK("https://klasma.github.io/Logging_1263/klagomålsmail/A 25054-2026 FSC-klagomål mail.docx", "A 25054-2026")</f>
        <v/>
      </c>
      <c r="AA25">
        <f>HYPERLINK("https://klasma.github.io/Logging_1263/tillsyn/A 25054-2026 tillsynsbegäran.docx", "A 25054-2026")</f>
        <v/>
      </c>
      <c r="AB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46222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46222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46222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46222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46222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46222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46222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46222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46222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46222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46222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64051-2025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46222</v>
      </c>
      <c r="F39" t="inlineStr">
        <is>
          <t>SKÅNE LÄN</t>
        </is>
      </c>
      <c r="G39" t="inlineStr">
        <is>
          <t>SVEDALA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46222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46222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46222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46222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46222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46222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46222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26080-2026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46222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46222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46222</v>
      </c>
      <c r="F49" t="inlineStr">
        <is>
          <t>SKÅNE LÄN</t>
        </is>
      </c>
      <c r="G49" t="inlineStr">
        <is>
          <t>SVEDALA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46222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54280-2023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46222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27844-2026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46222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15277-2024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45400</v>
      </c>
      <c r="E53" s="1" t="n">
        <v>46222</v>
      </c>
      <c r="F53" t="inlineStr">
        <is>
          <t>SKÅNE LÄN</t>
        </is>
      </c>
      <c r="G53" t="inlineStr">
        <is>
          <t>SVEDALA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27113-2022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46222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46222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54282-2023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46222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51318-2025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46222</v>
      </c>
      <c r="F57" t="inlineStr">
        <is>
          <t>SKÅNE LÄN</t>
        </is>
      </c>
      <c r="G57" t="inlineStr">
        <is>
          <t>SVEDALA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46222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46222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2026-07-19T01:31:56Z</dcterms:created>
  <dcterms:modified xmlns:dcterms="http://purl.org/dc/terms/" xmlns:xsi="http://www.w3.org/2001/XMLSchema-instance" xsi:type="dcterms:W3CDTF">2026-07-19T01:31:56Z</dcterms:modified>
</cp:coreProperties>
</file>