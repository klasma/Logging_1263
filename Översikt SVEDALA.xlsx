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46229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25022-2026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46174</v>
      </c>
      <c r="E12" s="1" t="n">
        <v>46229</v>
      </c>
      <c r="F12" t="inlineStr">
        <is>
          <t>SKÅNE LÄN</t>
        </is>
      </c>
      <c r="G12" t="inlineStr">
        <is>
          <t>SVEDALA</t>
        </is>
      </c>
      <c r="I12" t="n">
        <v>4.2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Mindre tåtelsmygare
Skogsknipprot</t>
        </is>
      </c>
      <c r="W12">
        <f>HYPERLINK("https://klasma.github.io/Logging_1263/artfynd/A 25022-2026 artfynd.xlsx", "A 25022-2026")</f>
        <v/>
      </c>
      <c r="X12">
        <f>HYPERLINK("https://klasma.github.io/Logging_1263/kartor/A 25022-2026 karta.png", "A 25022-2026")</f>
        <v/>
      </c>
      <c r="Y12">
        <f>HYPERLINK("https://klasma.github.io/Logging_1263/kartor_geotiff/A 25022-2026 georefererad karta.tif", "A 25022-2026")</f>
        <v/>
      </c>
      <c r="AA12">
        <f>HYPERLINK("https://klasma.github.io/Logging_1263/klagomål/A 25022-2026 FSC-klagomål.docx", "A 25022-2026")</f>
        <v/>
      </c>
      <c r="AB12">
        <f>HYPERLINK("https://klasma.github.io/Logging_1263/klagomålsmail/A 25022-2026 FSC-klagomål mail.docx", "A 25022-2026")</f>
        <v/>
      </c>
      <c r="AC12">
        <f>HYPERLINK("https://klasma.github.io/Logging_1263/tillsyn/A 25022-2026 tillsynsbegäran.docx", "A 25022-2026")</f>
        <v/>
      </c>
      <c r="AD12">
        <f>HYPERLINK("https://klasma.github.io/Logging_1263/tillsynsmail/A 25022-2026 tillsynsbegäran mail.docx", "A 25022-2026")</f>
        <v/>
      </c>
    </row>
    <row r="13" ht="15" customHeight="1">
      <c r="A13" t="inlineStr">
        <is>
          <t>A 9570-2026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46070</v>
      </c>
      <c r="E13" s="1" t="n">
        <v>46229</v>
      </c>
      <c r="F13" t="inlineStr">
        <is>
          <t>SKÅNE LÄN</t>
        </is>
      </c>
      <c r="G13" t="inlineStr">
        <is>
          <t>SVEDALA</t>
        </is>
      </c>
      <c r="I13" t="n">
        <v>6.6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9570-2026 artfynd.xlsx", "A 9570-2026")</f>
        <v/>
      </c>
      <c r="X13">
        <f>HYPERLINK("https://klasma.github.io/Logging_1263/kartor/A 9570-2026 karta.png", "A 9570-2026")</f>
        <v/>
      </c>
      <c r="Y13">
        <f>HYPERLINK("https://klasma.github.io/Logging_1263/kartor_geotiff/A 9570-2026 georefererad karta.tif", "A 9570-2026")</f>
        <v/>
      </c>
      <c r="AA13">
        <f>HYPERLINK("https://klasma.github.io/Logging_1263/klagomål/A 9570-2026 FSC-klagomål.docx", "A 9570-2026")</f>
        <v/>
      </c>
      <c r="AB13">
        <f>HYPERLINK("https://klasma.github.io/Logging_1263/klagomålsmail/A 9570-2026 FSC-klagomål mail.docx", "A 9570-2026")</f>
        <v/>
      </c>
      <c r="AC13">
        <f>HYPERLINK("https://klasma.github.io/Logging_1263/tillsyn/A 9570-2026 tillsynsbegäran.docx", "A 9570-2026")</f>
        <v/>
      </c>
      <c r="AD13">
        <f>HYPERLINK("https://klasma.github.io/Logging_1263/tillsynsmail/A 9570-2026 tillsynsbegäran mail.docx", "A 9570-2026")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46229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31697-2023 artfynd.xlsx", "A 31697-2023")</f>
        <v/>
      </c>
      <c r="X14">
        <f>HYPERLINK("https://klasma.github.io/Logging_1263/kartor/A 31697-2023 karta.png", "A 31697-2023")</f>
        <v/>
      </c>
      <c r="Y14">
        <f>HYPERLINK("https://klasma.github.io/Logging_1263/kartor_geotiff/A 31697-2023 georefererad karta.tif", "A 31697-2023")</f>
        <v/>
      </c>
      <c r="AA14">
        <f>HYPERLINK("https://klasma.github.io/Logging_1263/klagomål/A 31697-2023 FSC-klagomål.docx", "A 31697-2023")</f>
        <v/>
      </c>
      <c r="AB14">
        <f>HYPERLINK("https://klasma.github.io/Logging_1263/klagomålsmail/A 31697-2023 FSC-klagomål mail.docx", "A 31697-2023")</f>
        <v/>
      </c>
      <c r="AC14">
        <f>HYPERLINK("https://klasma.github.io/Logging_1263/tillsyn/A 31697-2023 tillsynsbegäran.docx", "A 31697-2023")</f>
        <v/>
      </c>
      <c r="AD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46229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15565-2024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46229</v>
      </c>
      <c r="F16" t="inlineStr">
        <is>
          <t>SKÅNE LÄN</t>
        </is>
      </c>
      <c r="G16" t="inlineStr">
        <is>
          <t>SVEDALA</t>
        </is>
      </c>
      <c r="I16" t="n">
        <v>7</v>
      </c>
      <c r="J16" t="n">
        <v>0</v>
      </c>
      <c r="K16" t="n">
        <v>0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2</v>
      </c>
      <c r="V16" s="2" t="inlineStr">
        <is>
          <t>Skogsalm
Igelkott</t>
        </is>
      </c>
      <c r="W16">
        <f>HYPERLINK("https://klasma.github.io/Logging_1263/artfynd/A 15565-2024 artfynd.xlsx", "A 15565-2024")</f>
        <v/>
      </c>
      <c r="X16">
        <f>HYPERLINK("https://klasma.github.io/Logging_1263/kartor/A 15565-2024 karta.png", "A 15565-2024")</f>
        <v/>
      </c>
      <c r="Y16">
        <f>HYPERLINK("https://klasma.github.io/Logging_1263/kartor_geotiff/A 15565-2024 georefererad karta.tif", "A 15565-2024")</f>
        <v/>
      </c>
      <c r="AA16">
        <f>HYPERLINK("https://klasma.github.io/Logging_1263/klagomål/A 15565-2024 FSC-klagomål.docx", "A 15565-2024")</f>
        <v/>
      </c>
      <c r="AB16">
        <f>HYPERLINK("https://klasma.github.io/Logging_1263/klagomålsmail/A 15565-2024 FSC-klagomål mail.docx", "A 15565-2024")</f>
        <v/>
      </c>
      <c r="AC16">
        <f>HYPERLINK("https://klasma.github.io/Logging_1263/tillsyn/A 15565-2024 tillsynsbegäran.docx", "A 15565-2024")</f>
        <v/>
      </c>
      <c r="AD16">
        <f>HYPERLINK("https://klasma.github.io/Logging_1263/tillsynsmail/A 15565-2024 tillsynsbegäran mail.docx", "A 15565-2024")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46229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46229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46229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46229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46229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46229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46229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46229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46229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46229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46229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46229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46229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27844-2026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46191</v>
      </c>
      <c r="E36" s="1" t="n">
        <v>46229</v>
      </c>
      <c r="F36" t="inlineStr">
        <is>
          <t>SKÅNE LÄN</t>
        </is>
      </c>
      <c r="G36" t="inlineStr">
        <is>
          <t>SVEDALA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54580-2023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45233</v>
      </c>
      <c r="E37" s="1" t="n">
        <v>46229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46229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46229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15277-2024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45400</v>
      </c>
      <c r="E40" s="1" t="n">
        <v>46229</v>
      </c>
      <c r="F40" t="inlineStr">
        <is>
          <t>SKÅNE LÄN</t>
        </is>
      </c>
      <c r="G40" t="inlineStr">
        <is>
          <t>SVEDALA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46229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46229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46229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46229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46229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46229</v>
      </c>
      <c r="F46" t="inlineStr">
        <is>
          <t>SKÅNE LÄN</t>
        </is>
      </c>
      <c r="G46" t="inlineStr">
        <is>
          <t>SVEDALA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46229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46229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46229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46229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46229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46229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46229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46229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46229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46229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46229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46229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46229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2026-07-26T01:49:23Z</dcterms:created>
  <dcterms:modified xmlns:dcterms="http://purl.org/dc/terms/" xmlns:xsi="http://www.w3.org/2001/XMLSchema-instance" xsi:type="dcterms:W3CDTF">2026-07-26T01:49:23Z</dcterms:modified>
</cp:coreProperties>
</file>