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45471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45471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45471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45471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45471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45471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45471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45471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16122-2024</t>
        </is>
      </c>
      <c r="B10" s="1" t="n">
        <v>45406</v>
      </c>
      <c r="C10" s="1" t="n">
        <v>45471</v>
      </c>
      <c r="D10" t="inlineStr">
        <is>
          <t>SKÅNE LÄN</t>
        </is>
      </c>
      <c r="E10" t="inlineStr">
        <is>
          <t>SVEDALA</t>
        </is>
      </c>
      <c r="G10" t="n">
        <v>15.2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Myskmadra</t>
        </is>
      </c>
      <c r="S10">
        <f>HYPERLINK("https://klasma.github.io/Logging_1263/artfynd/A 16122-2024 artfynd.xlsx", "A 16122-2024")</f>
        <v/>
      </c>
      <c r="T10">
        <f>HYPERLINK("https://klasma.github.io/Logging_1263/kartor/A 16122-2024 karta.png", "A 16122-2024")</f>
        <v/>
      </c>
      <c r="V10">
        <f>HYPERLINK("https://klasma.github.io/Logging_1263/klagomål/A 16122-2024 FSC-klagomål.docx", "A 16122-2024")</f>
        <v/>
      </c>
      <c r="W10">
        <f>HYPERLINK("https://klasma.github.io/Logging_1263/klagomålsmail/A 16122-2024 FSC-klagomål mail.docx", "A 16122-2024")</f>
        <v/>
      </c>
      <c r="X10">
        <f>HYPERLINK("https://klasma.github.io/Logging_1263/tillsyn/A 16122-2024 tillsynsbegäran.docx", "A 16122-2024")</f>
        <v/>
      </c>
      <c r="Y10">
        <f>HYPERLINK("https://klasma.github.io/Logging_1263/tillsynsmail/A 16122-2024 tillsynsbegäran mail.docx", "A 16122-2024")</f>
        <v/>
      </c>
    </row>
    <row r="11" ht="15" customHeight="1">
      <c r="A11" t="inlineStr">
        <is>
          <t>A 30710-2019</t>
        </is>
      </c>
      <c r="B11" s="1" t="n">
        <v>43636</v>
      </c>
      <c r="C11" s="1" t="n">
        <v>45471</v>
      </c>
      <c r="D11" t="inlineStr">
        <is>
          <t>SKÅNE LÄN</t>
        </is>
      </c>
      <c r="E11" t="inlineStr">
        <is>
          <t>SVEDALA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Bokoxe</t>
        </is>
      </c>
      <c r="S11">
        <f>HYPERLINK("https://klasma.github.io/Logging_1263/artfynd/A 30710-2019 artfynd.xlsx", "A 30710-2019")</f>
        <v/>
      </c>
      <c r="T11">
        <f>HYPERLINK("https://klasma.github.io/Logging_1263/kartor/A 30710-2019 karta.png", "A 30710-2019")</f>
        <v/>
      </c>
      <c r="V11">
        <f>HYPERLINK("https://klasma.github.io/Logging_1263/klagomål/A 30710-2019 FSC-klagomål.docx", "A 30710-2019")</f>
        <v/>
      </c>
      <c r="W11">
        <f>HYPERLINK("https://klasma.github.io/Logging_1263/klagomålsmail/A 30710-2019 FSC-klagomål mail.docx", "A 30710-2019")</f>
        <v/>
      </c>
      <c r="X11">
        <f>HYPERLINK("https://klasma.github.io/Logging_1263/tillsyn/A 30710-2019 tillsynsbegäran.docx", "A 30710-2019")</f>
        <v/>
      </c>
      <c r="Y11">
        <f>HYPERLINK("https://klasma.github.io/Logging_1263/tillsynsmail/A 30710-2019 tillsynsbegäran mail.docx", "A 30710-2019")</f>
        <v/>
      </c>
    </row>
    <row r="12" ht="15" customHeight="1">
      <c r="A12" t="inlineStr">
        <is>
          <t>A 46202-2019</t>
        </is>
      </c>
      <c r="B12" s="1" t="n">
        <v>43713</v>
      </c>
      <c r="C12" s="1" t="n">
        <v>45471</v>
      </c>
      <c r="D12" t="inlineStr">
        <is>
          <t>SKÅNE LÄN</t>
        </is>
      </c>
      <c r="E12" t="inlineStr">
        <is>
          <t>SVEDALA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HYPERLINK("https://klasma.github.io/Logging_1263/artfynd/A 46202-2019 artfynd.xlsx", "A 46202-2019")</f>
        <v/>
      </c>
      <c r="T12">
        <f>HYPERLINK("https://klasma.github.io/Logging_1263/kartor/A 46202-2019 karta.png", "A 46202-2019")</f>
        <v/>
      </c>
      <c r="V12">
        <f>HYPERLINK("https://klasma.github.io/Logging_1263/klagomål/A 46202-2019 FSC-klagomål.docx", "A 46202-2019")</f>
        <v/>
      </c>
      <c r="W12">
        <f>HYPERLINK("https://klasma.github.io/Logging_1263/klagomålsmail/A 46202-2019 FSC-klagomål mail.docx", "A 46202-2019")</f>
        <v/>
      </c>
      <c r="X12">
        <f>HYPERLINK("https://klasma.github.io/Logging_1263/tillsyn/A 46202-2019 tillsynsbegäran.docx", "A 46202-2019")</f>
        <v/>
      </c>
      <c r="Y12">
        <f>HYPERLINK("https://klasma.github.io/Logging_1263/tillsynsmail/A 46202-2019 tillsynsbegäran mail.docx", "A 46202-2019")</f>
        <v/>
      </c>
    </row>
    <row r="13" ht="15" customHeight="1">
      <c r="A13" t="inlineStr">
        <is>
          <t>A 30733-2020</t>
        </is>
      </c>
      <c r="B13" s="1" t="n">
        <v>44008</v>
      </c>
      <c r="C13" s="1" t="n">
        <v>45471</v>
      </c>
      <c r="D13" t="inlineStr">
        <is>
          <t>SKÅNE LÄN</t>
        </is>
      </c>
      <c r="E13" t="inlineStr">
        <is>
          <t>SVEDALA</t>
        </is>
      </c>
      <c r="G13" t="n">
        <v>1.4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30733-2020 artfynd.xlsx", "A 30733-2020")</f>
        <v/>
      </c>
      <c r="T13">
        <f>HYPERLINK("https://klasma.github.io/Logging_1263/kartor/A 30733-2020 karta.png", "A 30733-2020")</f>
        <v/>
      </c>
      <c r="V13">
        <f>HYPERLINK("https://klasma.github.io/Logging_1263/klagomål/A 30733-2020 FSC-klagomål.docx", "A 30733-2020")</f>
        <v/>
      </c>
      <c r="W13">
        <f>HYPERLINK("https://klasma.github.io/Logging_1263/klagomålsmail/A 30733-2020 FSC-klagomål mail.docx", "A 30733-2020")</f>
        <v/>
      </c>
      <c r="X13">
        <f>HYPERLINK("https://klasma.github.io/Logging_1263/tillsyn/A 30733-2020 tillsynsbegäran.docx", "A 30733-2020")</f>
        <v/>
      </c>
      <c r="Y13">
        <f>HYPERLINK("https://klasma.github.io/Logging_1263/tillsynsmail/A 30733-2020 tillsynsbegäran mail.docx", "A 30733-2020")</f>
        <v/>
      </c>
    </row>
    <row r="14" ht="15" customHeight="1">
      <c r="A14" t="inlineStr">
        <is>
          <t>A 18464-2022</t>
        </is>
      </c>
      <c r="B14" s="1" t="n">
        <v>44686</v>
      </c>
      <c r="C14" s="1" t="n">
        <v>45471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HYPERLINK("https://klasma.github.io/Logging_1263/artfynd/A 18464-2022 artfynd.xlsx", "A 18464-2022")</f>
        <v/>
      </c>
      <c r="T14">
        <f>HYPERLINK("https://klasma.github.io/Logging_1263/kartor/A 18464-2022 karta.png", "A 18464-2022")</f>
        <v/>
      </c>
      <c r="V14">
        <f>HYPERLINK("https://klasma.github.io/Logging_1263/klagomål/A 18464-2022 FSC-klagomål.docx", "A 18464-2022")</f>
        <v/>
      </c>
      <c r="W14">
        <f>HYPERLINK("https://klasma.github.io/Logging_1263/klagomålsmail/A 18464-2022 FSC-klagomål mail.docx", "A 18464-2022")</f>
        <v/>
      </c>
      <c r="X14">
        <f>HYPERLINK("https://klasma.github.io/Logging_1263/tillsyn/A 18464-2022 tillsynsbegäran.docx", "A 18464-2022")</f>
        <v/>
      </c>
      <c r="Y14">
        <f>HYPERLINK("https://klasma.github.io/Logging_1263/tillsynsmail/A 18464-2022 tillsynsbegäran mail.docx", "A 18464-2022")</f>
        <v/>
      </c>
    </row>
    <row r="15" ht="15" customHeight="1">
      <c r="A15" t="inlineStr">
        <is>
          <t>A 16684-2023</t>
        </is>
      </c>
      <c r="B15" s="1" t="n">
        <v>45030</v>
      </c>
      <c r="C15" s="1" t="n">
        <v>45471</v>
      </c>
      <c r="D15" t="inlineStr">
        <is>
          <t>SKÅNE LÄN</t>
        </is>
      </c>
      <c r="E15" t="inlineStr">
        <is>
          <t>SVEDALA</t>
        </is>
      </c>
      <c r="G15" t="n">
        <v>6.1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16684-2023 artfynd.xlsx", "A 16684-2023")</f>
        <v/>
      </c>
      <c r="T15">
        <f>HYPERLINK("https://klasma.github.io/Logging_1263/kartor/A 16684-2023 karta.png", "A 16684-2023")</f>
        <v/>
      </c>
      <c r="V15">
        <f>HYPERLINK("https://klasma.github.io/Logging_1263/klagomål/A 16684-2023 FSC-klagomål.docx", "A 16684-2023")</f>
        <v/>
      </c>
      <c r="W15">
        <f>HYPERLINK("https://klasma.github.io/Logging_1263/klagomålsmail/A 16684-2023 FSC-klagomål mail.docx", "A 16684-2023")</f>
        <v/>
      </c>
      <c r="X15">
        <f>HYPERLINK("https://klasma.github.io/Logging_1263/tillsyn/A 16684-2023 tillsynsbegäran.docx", "A 16684-2023")</f>
        <v/>
      </c>
      <c r="Y15">
        <f>HYPERLINK("https://klasma.github.io/Logging_1263/tillsynsmail/A 16684-2023 tillsynsbegäran mail.docx", "A 16684-2023")</f>
        <v/>
      </c>
    </row>
    <row r="16" ht="15" customHeight="1">
      <c r="A16" t="inlineStr">
        <is>
          <t>A 31700-2023</t>
        </is>
      </c>
      <c r="B16" s="1" t="n">
        <v>45117</v>
      </c>
      <c r="C16" s="1" t="n">
        <v>45471</v>
      </c>
      <c r="D16" t="inlineStr">
        <is>
          <t>SKÅNE LÄN</t>
        </is>
      </c>
      <c r="E16" t="inlineStr">
        <is>
          <t>SVEDALA</t>
        </is>
      </c>
      <c r="G16" t="n">
        <v>1.1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Revig blodrot</t>
        </is>
      </c>
      <c r="S16">
        <f>HYPERLINK("https://klasma.github.io/Logging_1263/artfynd/A 31700-2023 artfynd.xlsx", "A 31700-2023")</f>
        <v/>
      </c>
      <c r="T16">
        <f>HYPERLINK("https://klasma.github.io/Logging_1263/kartor/A 31700-2023 karta.png", "A 31700-2023")</f>
        <v/>
      </c>
      <c r="V16">
        <f>HYPERLINK("https://klasma.github.io/Logging_1263/klagomål/A 31700-2023 FSC-klagomål.docx", "A 31700-2023")</f>
        <v/>
      </c>
      <c r="W16">
        <f>HYPERLINK("https://klasma.github.io/Logging_1263/klagomålsmail/A 31700-2023 FSC-klagomål mail.docx", "A 31700-2023")</f>
        <v/>
      </c>
      <c r="X16">
        <f>HYPERLINK("https://klasma.github.io/Logging_1263/tillsyn/A 31700-2023 tillsynsbegäran.docx", "A 31700-2023")</f>
        <v/>
      </c>
      <c r="Y16">
        <f>HYPERLINK("https://klasma.github.io/Logging_1263/tillsynsmail/A 31700-2023 tillsynsbegäran mail.docx", "A 31700-2023")</f>
        <v/>
      </c>
    </row>
    <row r="17" ht="15" customHeight="1">
      <c r="A17" t="inlineStr">
        <is>
          <t>A 31951-2019</t>
        </is>
      </c>
      <c r="B17" s="1" t="n">
        <v>43642</v>
      </c>
      <c r="C17" s="1" t="n">
        <v>45471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45471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45471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45471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45471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45471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45471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45471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45471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45471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45471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45471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45471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45471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45471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45471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45471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45471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45471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45471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45471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45471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45471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45471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45471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45471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45471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45471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45471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45471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45471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45471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45471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45471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45471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45471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45471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4312-2024</t>
        </is>
      </c>
      <c r="B54" s="1" t="n">
        <v>45324</v>
      </c>
      <c r="C54" s="1" t="n">
        <v>45471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15277-2024</t>
        </is>
      </c>
      <c r="B55" s="1" t="n">
        <v>45400</v>
      </c>
      <c r="C55" s="1" t="n">
        <v>45471</v>
      </c>
      <c r="D55" t="inlineStr">
        <is>
          <t>SKÅNE LÄN</t>
        </is>
      </c>
      <c r="E55" t="inlineStr">
        <is>
          <t>SVEDALA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15582-2024</t>
        </is>
      </c>
      <c r="B56" s="1" t="n">
        <v>45401</v>
      </c>
      <c r="C56" s="1" t="n">
        <v>45471</v>
      </c>
      <c r="D56" t="inlineStr">
        <is>
          <t>SKÅNE LÄN</t>
        </is>
      </c>
      <c r="E56" t="inlineStr">
        <is>
          <t>SVEDALA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15565-2024</t>
        </is>
      </c>
      <c r="B57" s="1" t="n">
        <v>45401</v>
      </c>
      <c r="C57" s="1" t="n">
        <v>45471</v>
      </c>
      <c r="D57" t="inlineStr">
        <is>
          <t>SKÅNE LÄN</t>
        </is>
      </c>
      <c r="E57" t="inlineStr">
        <is>
          <t>SVEDALA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15577-2024</t>
        </is>
      </c>
      <c r="B58" s="1" t="n">
        <v>45401</v>
      </c>
      <c r="C58" s="1" t="n">
        <v>45471</v>
      </c>
      <c r="D58" t="inlineStr">
        <is>
          <t>SKÅNE LÄN</t>
        </is>
      </c>
      <c r="E58" t="inlineStr">
        <is>
          <t>SVEDALA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16199-2024</t>
        </is>
      </c>
      <c r="B59" s="1" t="n">
        <v>45406</v>
      </c>
      <c r="C59" s="1" t="n">
        <v>45471</v>
      </c>
      <c r="D59" t="inlineStr">
        <is>
          <t>SKÅNE LÄN</t>
        </is>
      </c>
      <c r="E59" t="inlineStr">
        <is>
          <t>SVEDALA</t>
        </is>
      </c>
      <c r="G59" t="n">
        <v>13.5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16202-2024</t>
        </is>
      </c>
      <c r="B60" s="1" t="n">
        <v>45406</v>
      </c>
      <c r="C60" s="1" t="n">
        <v>45471</v>
      </c>
      <c r="D60" t="inlineStr">
        <is>
          <t>SKÅNE LÄN</t>
        </is>
      </c>
      <c r="E60" t="inlineStr">
        <is>
          <t>SVEDALA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16203-2024</t>
        </is>
      </c>
      <c r="B61" s="1" t="n">
        <v>45406</v>
      </c>
      <c r="C61" s="1" t="n">
        <v>45471</v>
      </c>
      <c r="D61" t="inlineStr">
        <is>
          <t>SKÅNE LÄN</t>
        </is>
      </c>
      <c r="E61" t="inlineStr">
        <is>
          <t>SVEDALA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18887-2024</t>
        </is>
      </c>
      <c r="B62" s="1" t="n">
        <v>45427</v>
      </c>
      <c r="C62" s="1" t="n">
        <v>45471</v>
      </c>
      <c r="D62" t="inlineStr">
        <is>
          <t>SKÅNE LÄN</t>
        </is>
      </c>
      <c r="E62" t="inlineStr">
        <is>
          <t>SVEDALA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18888-2024</t>
        </is>
      </c>
      <c r="B63" s="1" t="n">
        <v>45427</v>
      </c>
      <c r="C63" s="1" t="n">
        <v>45471</v>
      </c>
      <c r="D63" t="inlineStr">
        <is>
          <t>SKÅNE LÄN</t>
        </is>
      </c>
      <c r="E63" t="inlineStr">
        <is>
          <t>SVEDALA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19268-2024</t>
        </is>
      </c>
      <c r="B64" s="1" t="n">
        <v>45428</v>
      </c>
      <c r="C64" s="1" t="n">
        <v>45471</v>
      </c>
      <c r="D64" t="inlineStr">
        <is>
          <t>SKÅNE LÄN</t>
        </is>
      </c>
      <c r="E64" t="inlineStr">
        <is>
          <t>SVEDALA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25603-2024</t>
        </is>
      </c>
      <c r="B65" s="1" t="n">
        <v>45463</v>
      </c>
      <c r="C65" s="1" t="n">
        <v>45471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2024-06-28T10:09:43Z</dcterms:created>
  <dcterms:modified xmlns:dcterms="http://purl.org/dc/terms/" xmlns:xsi="http://www.w3.org/2001/XMLSchema-instance" xsi:type="dcterms:W3CDTF">2024-06-28T10:09:43Z</dcterms:modified>
</cp:coreProperties>
</file>