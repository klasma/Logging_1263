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25022-2026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46174</v>
      </c>
      <c r="E11" s="1" t="n">
        <v>46254</v>
      </c>
      <c r="F11" t="inlineStr">
        <is>
          <t>SKÅNE LÄN</t>
        </is>
      </c>
      <c r="G11" t="inlineStr">
        <is>
          <t>SVEDALA</t>
        </is>
      </c>
      <c r="I11" t="n">
        <v>4.2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Mindre tåtelsmygare
Skogsknipprot</t>
        </is>
      </c>
      <c r="W11">
        <f>HYPERLINK("https://klasma.github.io/Logging_1263/artfynd/A 25022-2026 artfynd.xlsx", "A 25022-2026")</f>
        <v/>
      </c>
      <c r="X11">
        <f>HYPERLINK("https://klasma.github.io/Logging_1263/kartor/A 25022-2026 karta.png", "A 25022-2026")</f>
        <v/>
      </c>
      <c r="Y11">
        <f>HYPERLINK("https://klasma.github.io/Logging_1263/kartor_geotiff/A 25022-2026 georefererad karta.tif", "A 25022-2026")</f>
        <v/>
      </c>
      <c r="AA11">
        <f>HYPERLINK("https://klasma.github.io/Logging_1263/klagomål/A 25022-2026 FSC-klagomål.docx", "A 25022-2026")</f>
        <v/>
      </c>
      <c r="AB11">
        <f>HYPERLINK("https://klasma.github.io/Logging_1263/klagomålsmail/A 25022-2026 FSC-klagomål mail.docx", "A 25022-2026")</f>
        <v/>
      </c>
      <c r="AC11">
        <f>HYPERLINK("https://klasma.github.io/Logging_1263/tillsyn/A 25022-2026 tillsynsbegäran.docx", "A 25022-2026")</f>
        <v/>
      </c>
      <c r="AD11">
        <f>HYPERLINK("https://klasma.github.io/Logging_1263/tillsynsmail/A 25022-2026 tillsynsbegäran mail.docx", "A 25022-2026")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46254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46254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46254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31697-2023 artfynd.xlsx", "A 31697-2023")</f>
        <v/>
      </c>
      <c r="X14">
        <f>HYPERLINK("https://klasma.github.io/Logging_1263/kartor/A 31697-2023 karta.png", "A 31697-2023")</f>
        <v/>
      </c>
      <c r="Y14">
        <f>HYPERLINK("https://klasma.github.io/Logging_1263/kartor_geotiff/A 31697-2023 georefererad karta.tif", "A 31697-2023")</f>
        <v/>
      </c>
      <c r="AA14">
        <f>HYPERLINK("https://klasma.github.io/Logging_1263/klagomål/A 31697-2023 FSC-klagomål.docx", "A 31697-2023")</f>
        <v/>
      </c>
      <c r="AB14">
        <f>HYPERLINK("https://klasma.github.io/Logging_1263/klagomålsmail/A 31697-2023 FSC-klagomål mail.docx", "A 31697-2023")</f>
        <v/>
      </c>
      <c r="AC14">
        <f>HYPERLINK("https://klasma.github.io/Logging_1263/tillsyn/A 31697-2023 tillsynsbegäran.docx", "A 31697-2023")</f>
        <v/>
      </c>
      <c r="AD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46254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46254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46254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46254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46254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46254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46254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46254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46254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46254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46254</v>
      </c>
      <c r="F31" t="inlineStr">
        <is>
          <t>SKÅNE LÄN</t>
        </is>
      </c>
      <c r="G31" t="inlineStr">
        <is>
          <t>SVEDALA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46254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44897</v>
      </c>
      <c r="E33" s="1" t="n">
        <v>46254</v>
      </c>
      <c r="F33" t="inlineStr">
        <is>
          <t>SKÅNE LÄN</t>
        </is>
      </c>
      <c r="G33" t="inlineStr">
        <is>
          <t>SVEDALA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57803-2022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46254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46254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51318-2025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46254</v>
      </c>
      <c r="F36" t="inlineStr">
        <is>
          <t>SKÅNE LÄN</t>
        </is>
      </c>
      <c r="G36" t="inlineStr">
        <is>
          <t>SVEDALA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46254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46254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27844-2026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46191</v>
      </c>
      <c r="E39" s="1" t="n">
        <v>46254</v>
      </c>
      <c r="F39" t="inlineStr">
        <is>
          <t>SKÅNE LÄN</t>
        </is>
      </c>
      <c r="G39" t="inlineStr">
        <is>
          <t>SVEDALA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45400</v>
      </c>
      <c r="E40" s="1" t="n">
        <v>46254</v>
      </c>
      <c r="F40" t="inlineStr">
        <is>
          <t>SKÅNE LÄN</t>
        </is>
      </c>
      <c r="G40" t="inlineStr">
        <is>
          <t>SVEDALA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46254</v>
      </c>
      <c r="F41" t="inlineStr">
        <is>
          <t>SKÅNE LÄN</t>
        </is>
      </c>
      <c r="G41" t="inlineStr">
        <is>
          <t>SVEDALA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46254</v>
      </c>
      <c r="F42" t="inlineStr">
        <is>
          <t>SKÅNE LÄN</t>
        </is>
      </c>
      <c r="G42" t="inlineStr">
        <is>
          <t>SVEDALA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46254</v>
      </c>
      <c r="F43" t="inlineStr">
        <is>
          <t>SKÅNE LÄN</t>
        </is>
      </c>
      <c r="G43" t="inlineStr">
        <is>
          <t>SVEDALA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46254</v>
      </c>
      <c r="F44" t="inlineStr">
        <is>
          <t>SKÅNE LÄN</t>
        </is>
      </c>
      <c r="G44" t="inlineStr">
        <is>
          <t>SVEDALA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46254</v>
      </c>
      <c r="F45" t="inlineStr">
        <is>
          <t>SKÅNE LÄN</t>
        </is>
      </c>
      <c r="G45" t="inlineStr">
        <is>
          <t>SVEDALA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46254</v>
      </c>
      <c r="F46" t="inlineStr">
        <is>
          <t>SKÅNE LÄN</t>
        </is>
      </c>
      <c r="G46" t="inlineStr">
        <is>
          <t>SVEDALA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46254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46254</v>
      </c>
      <c r="F48" t="inlineStr">
        <is>
          <t>SKÅNE LÄN</t>
        </is>
      </c>
      <c r="G48" t="inlineStr">
        <is>
          <t>SVEDALA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46254</v>
      </c>
      <c r="F49" t="inlineStr">
        <is>
          <t>SKÅNE LÄN</t>
        </is>
      </c>
      <c r="G49" t="inlineStr">
        <is>
          <t>SVEDALA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46254</v>
      </c>
      <c r="F50" t="inlineStr">
        <is>
          <t>SKÅNE LÄN</t>
        </is>
      </c>
      <c r="G50" t="inlineStr">
        <is>
          <t>SVEDALA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46254</v>
      </c>
      <c r="F51" t="inlineStr">
        <is>
          <t>SKÅNE LÄN</t>
        </is>
      </c>
      <c r="G51" t="inlineStr">
        <is>
          <t>SVEDALA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46254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46254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46254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46254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46254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46254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46254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46254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46254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46254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2026-08-20T01:47:47Z</dcterms:created>
  <dcterms:modified xmlns:dcterms="http://purl.org/dc/terms/" xmlns:xsi="http://www.w3.org/2001/XMLSchema-instance" xsi:type="dcterms:W3CDTF">2026-08-20T01:47:47Z</dcterms:modified>
</cp:coreProperties>
</file>