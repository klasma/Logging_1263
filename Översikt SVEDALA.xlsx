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46253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46253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46253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46253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46253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46253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46253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46253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46253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46253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46253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2482-2025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45674</v>
      </c>
      <c r="E13" s="1" t="n">
        <v>46253</v>
      </c>
      <c r="F13" t="inlineStr">
        <is>
          <t>SKÅNE LÄN</t>
        </is>
      </c>
      <c r="G13" t="inlineStr">
        <is>
          <t>SVEDALA</t>
        </is>
      </c>
      <c r="I13" t="n">
        <v>0.5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Korallticka
Ekoxe</t>
        </is>
      </c>
      <c r="W13">
        <f>HYPERLINK("https://klasma.github.io/Logging_1263/artfynd/A 2482-2025 artfynd.xlsx", "A 2482-2025")</f>
        <v/>
      </c>
      <c r="X13">
        <f>HYPERLINK("https://klasma.github.io/Logging_1263/kartor/A 2482-2025 karta.png", "A 2482-2025")</f>
        <v/>
      </c>
      <c r="Y13">
        <f>HYPERLINK("https://klasma.github.io/Logging_1263/kartor_geotiff/A 2482-2025 georefererad karta.tif", "A 2482-2025")</f>
        <v/>
      </c>
      <c r="AA13">
        <f>HYPERLINK("https://klasma.github.io/Logging_1263/klagomål/A 2482-2025 FSC-klagomål.docx", "A 2482-2025")</f>
        <v/>
      </c>
      <c r="AB13">
        <f>HYPERLINK("https://klasma.github.io/Logging_1263/klagomålsmail/A 2482-2025 FSC-klagomål mail.docx", "A 2482-2025")</f>
        <v/>
      </c>
      <c r="AC13">
        <f>HYPERLINK("https://klasma.github.io/Logging_1263/tillsyn/A 2482-2025 tillsynsbegäran.docx", "A 2482-2025")</f>
        <v/>
      </c>
      <c r="AD13">
        <f>HYPERLINK("https://klasma.github.io/Logging_1263/tillsynsmail/A 2482-2025 tillsynsbegäran mail.docx", "A 2482-2025")</f>
        <v/>
      </c>
    </row>
    <row r="14" ht="15" customHeight="1">
      <c r="A14" t="inlineStr">
        <is>
          <t>A 58350-2025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45985</v>
      </c>
      <c r="E14" s="1" t="n">
        <v>46253</v>
      </c>
      <c r="F14" t="inlineStr">
        <is>
          <t>SKÅNE LÄN</t>
        </is>
      </c>
      <c r="G14" t="inlineStr">
        <is>
          <t>SVEDALA</t>
        </is>
      </c>
      <c r="I14" t="n">
        <v>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Koralltaggsvamp
Stor revmossa</t>
        </is>
      </c>
      <c r="W14">
        <f>HYPERLINK("https://klasma.github.io/Logging_1263/artfynd/A 58350-2025 artfynd.xlsx", "A 58350-2025")</f>
        <v/>
      </c>
      <c r="X14">
        <f>HYPERLINK("https://klasma.github.io/Logging_1263/kartor/A 58350-2025 karta.png", "A 58350-2025")</f>
        <v/>
      </c>
      <c r="Y14">
        <f>HYPERLINK("https://klasma.github.io/Logging_1263/kartor_geotiff/A 58350-2025 georefererad karta.tif", "A 58350-2025")</f>
        <v/>
      </c>
      <c r="AA14">
        <f>HYPERLINK("https://klasma.github.io/Logging_1263/klagomål/A 58350-2025 FSC-klagomål.docx", "A 58350-2025")</f>
        <v/>
      </c>
      <c r="AB14">
        <f>HYPERLINK("https://klasma.github.io/Logging_1263/klagomålsmail/A 58350-2025 FSC-klagomål mail.docx", "A 58350-2025")</f>
        <v/>
      </c>
      <c r="AC14">
        <f>HYPERLINK("https://klasma.github.io/Logging_1263/tillsyn/A 58350-2025 tillsynsbegäran.docx", "A 58350-2025")</f>
        <v/>
      </c>
      <c r="AD14">
        <f>HYPERLINK("https://klasma.github.io/Logging_1263/tillsynsmail/A 58350-2025 tillsynsbegäran mail.docx", "A 58350-2025")</f>
        <v/>
      </c>
    </row>
    <row r="15" ht="15" customHeight="1">
      <c r="A15" t="inlineStr">
        <is>
          <t>A 38011-2023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45160</v>
      </c>
      <c r="E15" s="1" t="n">
        <v>46253</v>
      </c>
      <c r="F15" t="inlineStr">
        <is>
          <t>SKÅNE LÄN</t>
        </is>
      </c>
      <c r="G15" t="inlineStr">
        <is>
          <t>SVEDALA</t>
        </is>
      </c>
      <c r="I15" t="n">
        <v>2.8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Lökgroda
Skogsknipprot</t>
        </is>
      </c>
      <c r="W15">
        <f>HYPERLINK("https://klasma.github.io/Logging_1263/artfynd/A 38011-2023 artfynd.xlsx", "A 38011-2023")</f>
        <v/>
      </c>
      <c r="X15">
        <f>HYPERLINK("https://klasma.github.io/Logging_1263/kartor/A 38011-2023 karta.png", "A 38011-2023")</f>
        <v/>
      </c>
      <c r="Y15">
        <f>HYPERLINK("https://klasma.github.io/Logging_1263/kartor_geotiff/A 38011-2023 georefererad karta.tif", "A 38011-2023")</f>
        <v/>
      </c>
      <c r="AA15">
        <f>HYPERLINK("https://klasma.github.io/Logging_1263/klagomål/A 38011-2023 FSC-klagomål.docx", "A 38011-2023")</f>
        <v/>
      </c>
      <c r="AB15">
        <f>HYPERLINK("https://klasma.github.io/Logging_1263/klagomålsmail/A 38011-2023 FSC-klagomål mail.docx", "A 38011-2023")</f>
        <v/>
      </c>
      <c r="AC15">
        <f>HYPERLINK("https://klasma.github.io/Logging_1263/tillsyn/A 38011-2023 tillsynsbegäran.docx", "A 38011-2023")</f>
        <v/>
      </c>
      <c r="AD15">
        <f>HYPERLINK("https://klasma.github.io/Logging_1263/tillsynsmail/A 38011-2023 tillsynsbegäran mail.docx", "A 38011-2023")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46253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46253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46253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46253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46253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46253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15582-2024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46253</v>
      </c>
      <c r="F22" t="inlineStr">
        <is>
          <t>SKÅNE LÄN</t>
        </is>
      </c>
      <c r="G22" t="inlineStr">
        <is>
          <t>SVEDALA</t>
        </is>
      </c>
      <c r="I22" t="n">
        <v>7.3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Trana</t>
        </is>
      </c>
      <c r="W22">
        <f>HYPERLINK("https://klasma.github.io/Logging_1263/artfynd/A 15582-2024 artfynd.xlsx", "A 15582-2024")</f>
        <v/>
      </c>
      <c r="X22">
        <f>HYPERLINK("https://klasma.github.io/Logging_1263/kartor/A 15582-2024 karta.png", "A 15582-2024")</f>
        <v/>
      </c>
      <c r="Y22">
        <f>HYPERLINK("https://klasma.github.io/Logging_1263/kartor_geotiff/A 15582-2024 georefererad karta.tif", "A 15582-2024")</f>
        <v/>
      </c>
      <c r="AA22">
        <f>HYPERLINK("https://klasma.github.io/Logging_1263/klagomål/A 15582-2024 FSC-klagomål.docx", "A 15582-2024")</f>
        <v/>
      </c>
      <c r="AB22">
        <f>HYPERLINK("https://klasma.github.io/Logging_1263/klagomålsmail/A 15582-2024 FSC-klagomål mail.docx", "A 15582-2024")</f>
        <v/>
      </c>
      <c r="AC22">
        <f>HYPERLINK("https://klasma.github.io/Logging_1263/tillsyn/A 15582-2024 tillsynsbegäran.docx", "A 15582-2024")</f>
        <v/>
      </c>
      <c r="AD22">
        <f>HYPERLINK("https://klasma.github.io/Logging_1263/tillsynsmail/A 15582-2024 tillsynsbegäran mail.docx", "A 15582-2024")</f>
        <v/>
      </c>
      <c r="AE22">
        <f>HYPERLINK("https://klasma.github.io/Logging_1263/fåglar/A 15582-2024 prioriterade fågelarter.docx", "A 15582-2024")</f>
        <v/>
      </c>
    </row>
    <row r="23" ht="15" customHeight="1">
      <c r="A23" t="inlineStr">
        <is>
          <t>A 25054-2026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46174</v>
      </c>
      <c r="E23" s="1" t="n">
        <v>46253</v>
      </c>
      <c r="F23" t="inlineStr">
        <is>
          <t>SKÅNE LÄN</t>
        </is>
      </c>
      <c r="G23" t="inlineStr">
        <is>
          <t>SVEDALA</t>
        </is>
      </c>
      <c r="I23" t="n">
        <v>3.8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Fransig jordstjärna</t>
        </is>
      </c>
      <c r="W23">
        <f>HYPERLINK("https://klasma.github.io/Logging_1263/artfynd/A 25054-2026 artfynd.xlsx", "A 25054-2026")</f>
        <v/>
      </c>
      <c r="X23">
        <f>HYPERLINK("https://klasma.github.io/Logging_1263/kartor/A 25054-2026 karta.png", "A 25054-2026")</f>
        <v/>
      </c>
      <c r="Y23">
        <f>HYPERLINK("https://klasma.github.io/Logging_1263/kartor_geotiff/A 25054-2026 georefererad karta.tif", "A 25054-2026")</f>
        <v/>
      </c>
      <c r="AA23">
        <f>HYPERLINK("https://klasma.github.io/Logging_1263/klagomål/A 25054-2026 FSC-klagomål.docx", "A 25054-2026")</f>
        <v/>
      </c>
      <c r="AB23">
        <f>HYPERLINK("https://klasma.github.io/Logging_1263/klagomålsmail/A 25054-2026 FSC-klagomål mail.docx", "A 25054-2026")</f>
        <v/>
      </c>
      <c r="AC23">
        <f>HYPERLINK("https://klasma.github.io/Logging_1263/tillsyn/A 25054-2026 tillsynsbegäran.docx", "A 25054-2026")</f>
        <v/>
      </c>
      <c r="AD23">
        <f>HYPERLINK("https://klasma.github.io/Logging_1263/tillsynsmail/A 25054-2026 tillsynsbegäran mail.docx", "A 25054-2026")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46253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15571-2024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46253</v>
      </c>
      <c r="F25" t="inlineStr">
        <is>
          <t>SKÅNE LÄN</t>
        </is>
      </c>
      <c r="G25" t="inlineStr">
        <is>
          <t>SVEDALA</t>
        </is>
      </c>
      <c r="I25" t="n">
        <v>11.1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skogssnigel</t>
        </is>
      </c>
      <c r="W25">
        <f>HYPERLINK("https://klasma.github.io/Logging_1263/artfynd/A 15571-2024 artfynd.xlsx", "A 15571-2024")</f>
        <v/>
      </c>
      <c r="X25">
        <f>HYPERLINK("https://klasma.github.io/Logging_1263/kartor/A 15571-2024 karta.png", "A 15571-2024")</f>
        <v/>
      </c>
      <c r="Y25">
        <f>HYPERLINK("https://klasma.github.io/Logging_1263/kartor_geotiff/A 15571-2024 georefererad karta.tif", "A 15571-2024")</f>
        <v/>
      </c>
      <c r="AA25">
        <f>HYPERLINK("https://klasma.github.io/Logging_1263/klagomål/A 15571-2024 FSC-klagomål.docx", "A 15571-2024")</f>
        <v/>
      </c>
      <c r="AB25">
        <f>HYPERLINK("https://klasma.github.io/Logging_1263/klagomålsmail/A 15571-2024 FSC-klagomål mail.docx", "A 15571-2024")</f>
        <v/>
      </c>
      <c r="AC25">
        <f>HYPERLINK("https://klasma.github.io/Logging_1263/tillsyn/A 15571-2024 tillsynsbegäran.docx", "A 15571-2024")</f>
        <v/>
      </c>
      <c r="AD25">
        <f>HYPERLINK("https://klasma.github.io/Logging_1263/tillsynsmail/A 15571-2024 tillsynsbegäran mail.docx", "A 15571-2024")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46253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46253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25603-2024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45463</v>
      </c>
      <c r="E28" s="1" t="n">
        <v>46253</v>
      </c>
      <c r="F28" t="inlineStr">
        <is>
          <t>SKÅNE LÄN</t>
        </is>
      </c>
      <c r="G28" t="inlineStr">
        <is>
          <t>SVEDALA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46253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45117</v>
      </c>
      <c r="E30" s="1" t="n">
        <v>46253</v>
      </c>
      <c r="F30" t="inlineStr">
        <is>
          <t>SKÅNE LÄN</t>
        </is>
      </c>
      <c r="G30" t="inlineStr">
        <is>
          <t>SVEDALA</t>
        </is>
      </c>
      <c r="I30" t="n">
        <v>4.1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13344-2023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45005</v>
      </c>
      <c r="E31" s="1" t="n">
        <v>46253</v>
      </c>
      <c r="F31" t="inlineStr">
        <is>
          <t>SKÅNE LÄN</t>
        </is>
      </c>
      <c r="G31" t="inlineStr">
        <is>
          <t>SVEDALA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67456-2021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46253</v>
      </c>
      <c r="F32" t="inlineStr">
        <is>
          <t>SKÅNE LÄN</t>
        </is>
      </c>
      <c r="G32" t="inlineStr">
        <is>
          <t>SVEDALA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16690-2023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46253</v>
      </c>
      <c r="F33" t="inlineStr">
        <is>
          <t>SKÅNE LÄN</t>
        </is>
      </c>
      <c r="G33" t="inlineStr">
        <is>
          <t>SVEDALA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59432-2022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44907</v>
      </c>
      <c r="E34" s="1" t="n">
        <v>46253</v>
      </c>
      <c r="F34" t="inlineStr">
        <is>
          <t>SKÅNE LÄN</t>
        </is>
      </c>
      <c r="G34" t="inlineStr">
        <is>
          <t>SVEDALA</t>
        </is>
      </c>
      <c r="I34" t="n">
        <v>5.1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46253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46253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46253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46253</v>
      </c>
      <c r="F38" t="inlineStr">
        <is>
          <t>SKÅNE LÄN</t>
        </is>
      </c>
      <c r="G38" t="inlineStr">
        <is>
          <t>SVEDALA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64055-2025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46021</v>
      </c>
      <c r="E39" s="1" t="n">
        <v>46253</v>
      </c>
      <c r="F39" t="inlineStr">
        <is>
          <t>SKÅNE LÄN</t>
        </is>
      </c>
      <c r="G39" t="inlineStr">
        <is>
          <t>SVEDALA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46253</v>
      </c>
      <c r="F40" t="inlineStr">
        <is>
          <t>SKÅNE LÄN</t>
        </is>
      </c>
      <c r="G40" t="inlineStr">
        <is>
          <t>SVEDALA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46253</v>
      </c>
      <c r="F41" t="inlineStr">
        <is>
          <t>SKÅNE LÄN</t>
        </is>
      </c>
      <c r="G41" t="inlineStr">
        <is>
          <t>SVEDALA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19190-2023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45048</v>
      </c>
      <c r="E42" s="1" t="n">
        <v>46253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16199-2024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45406</v>
      </c>
      <c r="E43" s="1" t="n">
        <v>46253</v>
      </c>
      <c r="F43" t="inlineStr">
        <is>
          <t>SKÅNE LÄN</t>
        </is>
      </c>
      <c r="G43" t="inlineStr">
        <is>
          <t>SVEDALA</t>
        </is>
      </c>
      <c r="I43" t="n">
        <v>13.5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46253</v>
      </c>
      <c r="F44" t="inlineStr">
        <is>
          <t>SKÅNE LÄN</t>
        </is>
      </c>
      <c r="G44" t="inlineStr">
        <is>
          <t>SVEDALA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64060-2025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46021</v>
      </c>
      <c r="E45" s="1" t="n">
        <v>46253</v>
      </c>
      <c r="F45" t="inlineStr">
        <is>
          <t>SKÅNE LÄN</t>
        </is>
      </c>
      <c r="G45" t="inlineStr">
        <is>
          <t>SVEDALA</t>
        </is>
      </c>
      <c r="I45" t="n">
        <v>6.4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46253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45232</v>
      </c>
      <c r="E47" s="1" t="n">
        <v>46253</v>
      </c>
      <c r="F47" t="inlineStr">
        <is>
          <t>SKÅNE LÄN</t>
        </is>
      </c>
      <c r="G47" t="inlineStr">
        <is>
          <t>SVEDALA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51318-2025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45950</v>
      </c>
      <c r="E48" s="1" t="n">
        <v>46253</v>
      </c>
      <c r="F48" t="inlineStr">
        <is>
          <t>SKÅNE LÄN</t>
        </is>
      </c>
      <c r="G48" t="inlineStr">
        <is>
          <t>SVEDALA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56202-2023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45240</v>
      </c>
      <c r="E49" s="1" t="n">
        <v>46253</v>
      </c>
      <c r="F49" t="inlineStr">
        <is>
          <t>SKÅNE LÄN</t>
        </is>
      </c>
      <c r="G49" t="inlineStr">
        <is>
          <t>SVEDALA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46253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27844-2026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46191</v>
      </c>
      <c r="E51" s="1" t="n">
        <v>46253</v>
      </c>
      <c r="F51" t="inlineStr">
        <is>
          <t>SKÅNE LÄN</t>
        </is>
      </c>
      <c r="G51" t="inlineStr">
        <is>
          <t>SVEDALA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26073-2026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46253</v>
      </c>
      <c r="F52" t="inlineStr">
        <is>
          <t>SKÅNE LÄN</t>
        </is>
      </c>
      <c r="G52" t="inlineStr">
        <is>
          <t>SVEDALA</t>
        </is>
      </c>
      <c r="I52" t="n">
        <v>7.3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25275-2026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46176</v>
      </c>
      <c r="E53" s="1" t="n">
        <v>46253</v>
      </c>
      <c r="F53" t="inlineStr">
        <is>
          <t>SKÅNE LÄN</t>
        </is>
      </c>
      <c r="G53" t="inlineStr">
        <is>
          <t>SVEDALA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26080-2026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46253</v>
      </c>
      <c r="F54" t="inlineStr">
        <is>
          <t>SKÅNE LÄN</t>
        </is>
      </c>
      <c r="G54" t="inlineStr">
        <is>
          <t>SVEDALA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15277-2024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45400</v>
      </c>
      <c r="E55" s="1" t="n">
        <v>46253</v>
      </c>
      <c r="F55" t="inlineStr">
        <is>
          <t>SKÅNE LÄN</t>
        </is>
      </c>
      <c r="G55" t="inlineStr">
        <is>
          <t>SVEDALA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27113-2022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44741</v>
      </c>
      <c r="E56" s="1" t="n">
        <v>46253</v>
      </c>
      <c r="F56" t="inlineStr">
        <is>
          <t>SKÅNE LÄN</t>
        </is>
      </c>
      <c r="G56" t="inlineStr">
        <is>
          <t>SVEDALA</t>
        </is>
      </c>
      <c r="I56" t="n">
        <v>8.9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29030-2023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45104</v>
      </c>
      <c r="E57" s="1" t="n">
        <v>46253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54282-2023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45232</v>
      </c>
      <c r="E58" s="1" t="n">
        <v>46253</v>
      </c>
      <c r="F58" t="inlineStr">
        <is>
          <t>SKÅNE LÄN</t>
        </is>
      </c>
      <c r="G58" t="inlineStr">
        <is>
          <t>SVEDALA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46253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46253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46253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2026-08-19T01:49:20Z</dcterms:created>
  <dcterms:modified xmlns:dcterms="http://purl.org/dc/terms/" xmlns:xsi="http://www.w3.org/2001/XMLSchema-instance" xsi:type="dcterms:W3CDTF">2026-08-19T01:49:20Z</dcterms:modified>
</cp:coreProperties>
</file>