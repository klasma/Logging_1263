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46219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Y2">
        <f>HYPERLINK("https://klasma.github.io/Logging_1263/klagomål/S 628-2025 FSC-klagomål.docx", "S 628-2025")</f>
        <v/>
      </c>
      <c r="Z2">
        <f>HYPERLINK("https://klasma.github.io/Logging_1263/klagomålsmail/S 628-2025 FSC-klagomål mail.docx", "S 628-2025")</f>
        <v/>
      </c>
      <c r="AA2">
        <f>HYPERLINK("https://klasma.github.io/Logging_1263/tillsyn/S 628-2025 tillsynsbegäran.docx", "S 628-2025")</f>
        <v/>
      </c>
      <c r="AB2">
        <f>HYPERLINK("https://klasma.github.io/Logging_1263/tillsynsmail/S 628-2025 tillsynsbegäran mail.docx", "S 628-2025")</f>
        <v/>
      </c>
      <c r="AC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46219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Y3">
        <f>HYPERLINK("https://klasma.github.io/Logging_1263/klagomål/A 29032-2023 FSC-klagomål.docx", "A 29032-2023")</f>
        <v/>
      </c>
      <c r="Z3">
        <f>HYPERLINK("https://klasma.github.io/Logging_1263/klagomålsmail/A 29032-2023 FSC-klagomål mail.docx", "A 29032-2023")</f>
        <v/>
      </c>
      <c r="AA3">
        <f>HYPERLINK("https://klasma.github.io/Logging_1263/tillsyn/A 29032-2023 tillsynsbegäran.docx", "A 29032-2023")</f>
        <v/>
      </c>
      <c r="AB3">
        <f>HYPERLINK("https://klasma.github.io/Logging_1263/tillsynsmail/A 29032-2023 tillsynsbegäran mail.docx", "A 29032-2023")</f>
        <v/>
      </c>
      <c r="AC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46219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Y4">
        <f>HYPERLINK("https://klasma.github.io/Logging_1263/klagomål/A 25062-2026 FSC-klagomål.docx", "A 25062-2026")</f>
        <v/>
      </c>
      <c r="Z4">
        <f>HYPERLINK("https://klasma.github.io/Logging_1263/klagomålsmail/A 25062-2026 FSC-klagomål mail.docx", "A 25062-2026")</f>
        <v/>
      </c>
      <c r="AA4">
        <f>HYPERLINK("https://klasma.github.io/Logging_1263/tillsyn/A 25062-2026 tillsynsbegäran.docx", "A 25062-2026")</f>
        <v/>
      </c>
      <c r="AB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46219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Y5">
        <f>HYPERLINK("https://klasma.github.io/Logging_1263/klagomål/A 28247-2025 FSC-klagomål.docx", "A 28247-2025")</f>
        <v/>
      </c>
      <c r="Z5">
        <f>HYPERLINK("https://klasma.github.io/Logging_1263/klagomålsmail/A 28247-2025 FSC-klagomål mail.docx", "A 28247-2025")</f>
        <v/>
      </c>
      <c r="AA5">
        <f>HYPERLINK("https://klasma.github.io/Logging_1263/tillsyn/A 28247-2025 tillsynsbegäran.docx", "A 28247-2025")</f>
        <v/>
      </c>
      <c r="AB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46219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Y6">
        <f>HYPERLINK("https://klasma.github.io/Logging_1263/klagomål/A 27244-2024 FSC-klagomål.docx", "A 27244-2024")</f>
        <v/>
      </c>
      <c r="Z6">
        <f>HYPERLINK("https://klasma.github.io/Logging_1263/klagomålsmail/A 27244-2024 FSC-klagomål mail.docx", "A 27244-2024")</f>
        <v/>
      </c>
      <c r="AA6">
        <f>HYPERLINK("https://klasma.github.io/Logging_1263/tillsyn/A 27244-2024 tillsynsbegäran.docx", "A 27244-2024")</f>
        <v/>
      </c>
      <c r="AB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46219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Y7">
        <f>HYPERLINK("https://klasma.github.io/Logging_1263/klagomål/A 25049-2026 FSC-klagomål.docx", "A 25049-2026")</f>
        <v/>
      </c>
      <c r="Z7">
        <f>HYPERLINK("https://klasma.github.io/Logging_1263/klagomålsmail/A 25049-2026 FSC-klagomål mail.docx", "A 25049-2026")</f>
        <v/>
      </c>
      <c r="AA7">
        <f>HYPERLINK("https://klasma.github.io/Logging_1263/tillsyn/A 25049-2026 tillsynsbegäran.docx", "A 25049-2026")</f>
        <v/>
      </c>
      <c r="AB7">
        <f>HYPERLINK("https://klasma.github.io/Logging_1263/tillsynsmail/A 25049-2026 tillsynsbegäran mail.docx", "A 25049-2026")</f>
        <v/>
      </c>
      <c r="AC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46219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s="2" t="inlineStr">
        <is>
          <t>Guldlockmossa
Lönnlav
Platt fjädermossa
Tibast</t>
        </is>
      </c>
      <c r="V8">
        <f>HYPERLINK("https://klasma.github.io/Logging_1263/artfynd/A 14150-2023 artfynd.xlsx", "A 14150-2023")</f>
        <v/>
      </c>
      <c r="W8">
        <f>HYPERLINK("https://klasma.github.io/Logging_1263/kartor/A 14150-2023 karta.png", "A 14150-2023")</f>
        <v/>
      </c>
      <c r="Y8">
        <f>HYPERLINK("https://klasma.github.io/Logging_1263/klagomål/A 14150-2023 FSC-klagomål.docx", "A 14150-2023")</f>
        <v/>
      </c>
      <c r="Z8">
        <f>HYPERLINK("https://klasma.github.io/Logging_1263/klagomålsmail/A 14150-2023 FSC-klagomål mail.docx", "A 14150-2023")</f>
        <v/>
      </c>
      <c r="AA8">
        <f>HYPERLINK("https://klasma.github.io/Logging_1263/tillsyn/A 14150-2023 tillsynsbegäran.docx", "A 14150-2023")</f>
        <v/>
      </c>
      <c r="AB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46219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s="2" t="inlineStr">
        <is>
          <t>Brun glada
Revig blodrot
Lövgroda
Större vattensalamander</t>
        </is>
      </c>
      <c r="V9">
        <f>HYPERLINK("https://klasma.github.io/Logging_1263/artfynd/A 31700-2023 artfynd.xlsx", "A 31700-2023")</f>
        <v/>
      </c>
      <c r="W9">
        <f>HYPERLINK("https://klasma.github.io/Logging_1263/kartor/A 31700-2023 karta.png", "A 31700-2023")</f>
        <v/>
      </c>
      <c r="Y9">
        <f>HYPERLINK("https://klasma.github.io/Logging_1263/klagomål/A 31700-2023 FSC-klagomål.docx", "A 31700-2023")</f>
        <v/>
      </c>
      <c r="Z9">
        <f>HYPERLINK("https://klasma.github.io/Logging_1263/klagomålsmail/A 31700-2023 FSC-klagomål mail.docx", "A 31700-2023")</f>
        <v/>
      </c>
      <c r="AA9">
        <f>HYPERLINK("https://klasma.github.io/Logging_1263/tillsyn/A 31700-2023 tillsynsbegäran.docx", "A 31700-2023")</f>
        <v/>
      </c>
      <c r="AB9">
        <f>HYPERLINK("https://klasma.github.io/Logging_1263/tillsynsmail/A 31700-2023 tillsynsbegäran mail.docx", "A 31700-2023")</f>
        <v/>
      </c>
      <c r="AC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46219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Y10">
        <f>HYPERLINK("https://klasma.github.io/Logging_1263/klagomål/A 16122-2024 FSC-klagomål.docx", "A 16122-2024")</f>
        <v/>
      </c>
      <c r="Z10">
        <f>HYPERLINK("https://klasma.github.io/Logging_1263/klagomålsmail/A 16122-2024 FSC-klagomål mail.docx", "A 16122-2024")</f>
        <v/>
      </c>
      <c r="AA10">
        <f>HYPERLINK("https://klasma.github.io/Logging_1263/tillsyn/A 16122-2024 tillsynsbegäran.docx", "A 16122-2024")</f>
        <v/>
      </c>
      <c r="AB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46219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s="2" t="inlineStr">
        <is>
          <t>Skogsalm
Igelkott</t>
        </is>
      </c>
      <c r="V11">
        <f>HYPERLINK("https://klasma.github.io/Logging_1263/artfynd/A 15565-2024 artfynd.xlsx", "A 15565-2024")</f>
        <v/>
      </c>
      <c r="W11">
        <f>HYPERLINK("https://klasma.github.io/Logging_1263/kartor/A 15565-2024 karta.png", "A 15565-2024")</f>
        <v/>
      </c>
      <c r="Y11">
        <f>HYPERLINK("https://klasma.github.io/Logging_1263/klagomål/A 15565-2024 FSC-klagomål.docx", "A 15565-2024")</f>
        <v/>
      </c>
      <c r="Z11">
        <f>HYPERLINK("https://klasma.github.io/Logging_1263/klagomålsmail/A 15565-2024 FSC-klagomål mail.docx", "A 15565-2024")</f>
        <v/>
      </c>
      <c r="AA11">
        <f>HYPERLINK("https://klasma.github.io/Logging_1263/tillsyn/A 15565-2024 tillsynsbegäran.docx", "A 15565-2024")</f>
        <v/>
      </c>
      <c r="AB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46219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Lövgroda
Större vattensalamander</t>
        </is>
      </c>
      <c r="V12">
        <f>HYPERLINK("https://klasma.github.io/Logging_1263/artfynd/A 31697-2023 artfynd.xlsx", "A 31697-2023")</f>
        <v/>
      </c>
      <c r="W12">
        <f>HYPERLINK("https://klasma.github.io/Logging_1263/kartor/A 31697-2023 karta.png", "A 31697-2023")</f>
        <v/>
      </c>
      <c r="Y12">
        <f>HYPERLINK("https://klasma.github.io/Logging_1263/klagomål/A 31697-2023 FSC-klagomål.docx", "A 31697-2023")</f>
        <v/>
      </c>
      <c r="Z12">
        <f>HYPERLINK("https://klasma.github.io/Logging_1263/klagomålsmail/A 31697-2023 FSC-klagomål mail.docx", "A 31697-2023")</f>
        <v/>
      </c>
      <c r="AA12">
        <f>HYPERLINK("https://klasma.github.io/Logging_1263/tillsyn/A 31697-2023 tillsynsbegäran.docx", "A 31697-2023")</f>
        <v/>
      </c>
      <c r="AB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46219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Koralltaggsvamp
Stor revmossa</t>
        </is>
      </c>
      <c r="V13">
        <f>HYPERLINK("https://klasma.github.io/Logging_1263/artfynd/A 58350-2025 artfynd.xlsx", "A 58350-2025")</f>
        <v/>
      </c>
      <c r="W13">
        <f>HYPERLINK("https://klasma.github.io/Logging_1263/kartor/A 58350-2025 karta.png", "A 58350-2025")</f>
        <v/>
      </c>
      <c r="Y13">
        <f>HYPERLINK("https://klasma.github.io/Logging_1263/klagomål/A 58350-2025 FSC-klagomål.docx", "A 58350-2025")</f>
        <v/>
      </c>
      <c r="Z13">
        <f>HYPERLINK("https://klasma.github.io/Logging_1263/klagomålsmail/A 58350-2025 FSC-klagomål mail.docx", "A 58350-2025")</f>
        <v/>
      </c>
      <c r="AA13">
        <f>HYPERLINK("https://klasma.github.io/Logging_1263/tillsyn/A 58350-2025 tillsynsbegäran.docx", "A 58350-2025")</f>
        <v/>
      </c>
      <c r="AB13">
        <f>HYPERLINK("https://klasma.github.io/Logging_1263/tillsynsmail/A 58350-2025 tillsynsbegäran mail.docx", "A 58350-2025")</f>
        <v/>
      </c>
    </row>
    <row r="14" ht="15" customHeight="1">
      <c r="A14" t="inlineStr">
        <is>
          <t>A 25022-2026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46219</v>
      </c>
      <c r="F14" t="inlineStr">
        <is>
          <t>SKÅNE LÄN</t>
        </is>
      </c>
      <c r="G14" t="inlineStr">
        <is>
          <t>SVEDALA</t>
        </is>
      </c>
      <c r="I14" t="n">
        <v>4.2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s="2" t="inlineStr">
        <is>
          <t>Mindre tåtelsmygare
Skogsknipprot</t>
        </is>
      </c>
      <c r="V14">
        <f>HYPERLINK("https://klasma.github.io/Logging_1263/artfynd/A 25022-2026 artfynd.xlsx", "A 25022-2026")</f>
        <v/>
      </c>
      <c r="W14">
        <f>HYPERLINK("https://klasma.github.io/Logging_1263/kartor/A 25022-2026 karta.png", "A 25022-2026")</f>
        <v/>
      </c>
      <c r="Y14">
        <f>HYPERLINK("https://klasma.github.io/Logging_1263/klagomål/A 25022-2026 FSC-klagomål.docx", "A 25022-2026")</f>
        <v/>
      </c>
      <c r="Z14">
        <f>HYPERLINK("https://klasma.github.io/Logging_1263/klagomålsmail/A 25022-2026 FSC-klagomål mail.docx", "A 25022-2026")</f>
        <v/>
      </c>
      <c r="AA14">
        <f>HYPERLINK("https://klasma.github.io/Logging_1263/tillsyn/A 25022-2026 tillsynsbegäran.docx", "A 25022-2026")</f>
        <v/>
      </c>
      <c r="AB14">
        <f>HYPERLINK("https://klasma.github.io/Logging_1263/tillsynsmail/A 25022-2026 tillsynsbegäran mail.docx", "A 25022-2026")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46219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Lövgroda
Större vattensalamander</t>
        </is>
      </c>
      <c r="V15">
        <f>HYPERLINK("https://klasma.github.io/Logging_1263/artfynd/A 9570-2026 artfynd.xlsx", "A 9570-2026")</f>
        <v/>
      </c>
      <c r="W15">
        <f>HYPERLINK("https://klasma.github.io/Logging_1263/kartor/A 9570-2026 karta.png", "A 9570-2026")</f>
        <v/>
      </c>
      <c r="Y15">
        <f>HYPERLINK("https://klasma.github.io/Logging_1263/klagomål/A 9570-2026 FSC-klagomål.docx", "A 9570-2026")</f>
        <v/>
      </c>
      <c r="Z15">
        <f>HYPERLINK("https://klasma.github.io/Logging_1263/klagomålsmail/A 9570-2026 FSC-klagomål mail.docx", "A 9570-2026")</f>
        <v/>
      </c>
      <c r="AA15">
        <f>HYPERLINK("https://klasma.github.io/Logging_1263/tillsyn/A 9570-2026 tillsynsbegäran.docx", "A 9570-2026")</f>
        <v/>
      </c>
      <c r="AB15">
        <f>HYPERLINK("https://klasma.github.io/Logging_1263/tillsynsmail/A 9570-2026 tillsynsbegäran mail.docx", "A 9570-2026")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46219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Lökgroda
Skogsknipprot</t>
        </is>
      </c>
      <c r="V16">
        <f>HYPERLINK("https://klasma.github.io/Logging_1263/artfynd/A 38011-2023 artfynd.xlsx", "A 38011-2023")</f>
        <v/>
      </c>
      <c r="W16">
        <f>HYPERLINK("https://klasma.github.io/Logging_1263/kartor/A 38011-2023 karta.png", "A 38011-2023")</f>
        <v/>
      </c>
      <c r="Y16">
        <f>HYPERLINK("https://klasma.github.io/Logging_1263/klagomål/A 38011-2023 FSC-klagomål.docx", "A 38011-2023")</f>
        <v/>
      </c>
      <c r="Z16">
        <f>HYPERLINK("https://klasma.github.io/Logging_1263/klagomålsmail/A 38011-2023 FSC-klagomål mail.docx", "A 38011-2023")</f>
        <v/>
      </c>
      <c r="AA16">
        <f>HYPERLINK("https://klasma.github.io/Logging_1263/tillsyn/A 38011-2023 tillsynsbegäran.docx", "A 38011-2023")</f>
        <v/>
      </c>
      <c r="AB16">
        <f>HYPERLINK("https://klasma.github.io/Logging_1263/tillsynsmail/A 38011-2023 tillsynsbegäran mail.docx", "A 38011-2023")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46219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Korallticka
Ekoxe</t>
        </is>
      </c>
      <c r="V17">
        <f>HYPERLINK("https://klasma.github.io/Logging_1263/artfynd/A 2482-2025 artfynd.xlsx", "A 2482-2025")</f>
        <v/>
      </c>
      <c r="W17">
        <f>HYPERLINK("https://klasma.github.io/Logging_1263/kartor/A 2482-2025 karta.png", "A 2482-2025")</f>
        <v/>
      </c>
      <c r="Y17">
        <f>HYPERLINK("https://klasma.github.io/Logging_1263/klagomål/A 2482-2025 FSC-klagomål.docx", "A 2482-2025")</f>
        <v/>
      </c>
      <c r="Z17">
        <f>HYPERLINK("https://klasma.github.io/Logging_1263/klagomålsmail/A 2482-2025 FSC-klagomål mail.docx", "A 2482-2025")</f>
        <v/>
      </c>
      <c r="AA17">
        <f>HYPERLINK("https://klasma.github.io/Logging_1263/tillsyn/A 2482-2025 tillsynsbegäran.docx", "A 2482-2025")</f>
        <v/>
      </c>
      <c r="AB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46219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Y18">
        <f>HYPERLINK("https://klasma.github.io/Logging_1263/klagomål/S 1998-2026 FSC-klagomål.docx", "S 1998-2026")</f>
        <v/>
      </c>
      <c r="Z18">
        <f>HYPERLINK("https://klasma.github.io/Logging_1263/klagomålsmail/S 1998-2026 FSC-klagomål mail.docx", "S 1998-2026")</f>
        <v/>
      </c>
      <c r="AA18">
        <f>HYPERLINK("https://klasma.github.io/Logging_1263/tillsyn/S 1998-2026 tillsynsbegäran.docx", "S 1998-2026")</f>
        <v/>
      </c>
      <c r="AB18">
        <f>HYPERLINK("https://klasma.github.io/Logging_1263/tillsynsmail/S 1998-2026 tillsynsbegäran mail.docx", "S 1998-2026")</f>
        <v/>
      </c>
      <c r="AC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46219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Y19">
        <f>HYPERLINK("https://klasma.github.io/Logging_1263/klagomål/S 1999-2026 FSC-klagomål.docx", "S 1999-2026")</f>
        <v/>
      </c>
      <c r="Z19">
        <f>HYPERLINK("https://klasma.github.io/Logging_1263/klagomålsmail/S 1999-2026 FSC-klagomål mail.docx", "S 1999-2026")</f>
        <v/>
      </c>
      <c r="AA19">
        <f>HYPERLINK("https://klasma.github.io/Logging_1263/tillsyn/S 1999-2026 tillsynsbegäran.docx", "S 1999-2026")</f>
        <v/>
      </c>
      <c r="AB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46219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Y20">
        <f>HYPERLINK("https://klasma.github.io/Logging_1263/klagomål/A 18464-2022 FSC-klagomål.docx", "A 18464-2022")</f>
        <v/>
      </c>
      <c r="Z20">
        <f>HYPERLINK("https://klasma.github.io/Logging_1263/klagomålsmail/A 18464-2022 FSC-klagomål mail.docx", "A 18464-2022")</f>
        <v/>
      </c>
      <c r="AA20">
        <f>HYPERLINK("https://klasma.github.io/Logging_1263/tillsyn/A 18464-2022 tillsynsbegäran.docx", "A 18464-2022")</f>
        <v/>
      </c>
      <c r="AB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46219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Y21">
        <f>HYPERLINK("https://klasma.github.io/Logging_1263/klagomål/A 27107-2022 FSC-klagomål.docx", "A 27107-2022")</f>
        <v/>
      </c>
      <c r="Z21">
        <f>HYPERLINK("https://klasma.github.io/Logging_1263/klagomålsmail/A 27107-2022 FSC-klagomål mail.docx", "A 27107-2022")</f>
        <v/>
      </c>
      <c r="AA21">
        <f>HYPERLINK("https://klasma.github.io/Logging_1263/tillsyn/A 27107-2022 tillsynsbegäran.docx", "A 27107-2022")</f>
        <v/>
      </c>
      <c r="AB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46219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Svart skogssnigel</t>
        </is>
      </c>
      <c r="V22">
        <f>HYPERLINK("https://klasma.github.io/Logging_1263/artfynd/A 15571-2024 artfynd.xlsx", "A 15571-2024")</f>
        <v/>
      </c>
      <c r="W22">
        <f>HYPERLINK("https://klasma.github.io/Logging_1263/kartor/A 15571-2024 karta.png", "A 15571-2024")</f>
        <v/>
      </c>
      <c r="Y22">
        <f>HYPERLINK("https://klasma.github.io/Logging_1263/klagomål/A 15571-2024 FSC-klagomål.docx", "A 15571-2024")</f>
        <v/>
      </c>
      <c r="Z22">
        <f>HYPERLINK("https://klasma.github.io/Logging_1263/klagomålsmail/A 15571-2024 FSC-klagomål mail.docx", "A 15571-2024")</f>
        <v/>
      </c>
      <c r="AA22">
        <f>HYPERLINK("https://klasma.github.io/Logging_1263/tillsyn/A 15571-2024 tillsynsbegäran.docx", "A 15571-2024")</f>
        <v/>
      </c>
      <c r="AB22">
        <f>HYPERLINK("https://klasma.github.io/Logging_1263/tillsynsmail/A 15571-2024 tillsynsbegäran mail.docx", "A 15571-2024")</f>
        <v/>
      </c>
    </row>
    <row r="23" ht="15" customHeight="1">
      <c r="A23" t="inlineStr">
        <is>
          <t>A 15582-2024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46219</v>
      </c>
      <c r="F23" t="inlineStr">
        <is>
          <t>SKÅNE LÄN</t>
        </is>
      </c>
      <c r="G23" t="inlineStr">
        <is>
          <t>SVEDALA</t>
        </is>
      </c>
      <c r="I23" t="n">
        <v>7.3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Trana</t>
        </is>
      </c>
      <c r="V23">
        <f>HYPERLINK("https://klasma.github.io/Logging_1263/artfynd/A 15582-2024 artfynd.xlsx", "A 15582-2024")</f>
        <v/>
      </c>
      <c r="W23">
        <f>HYPERLINK("https://klasma.github.io/Logging_1263/kartor/A 15582-2024 karta.png", "A 15582-2024")</f>
        <v/>
      </c>
      <c r="Y23">
        <f>HYPERLINK("https://klasma.github.io/Logging_1263/klagomål/A 15582-2024 FSC-klagomål.docx", "A 15582-2024")</f>
        <v/>
      </c>
      <c r="Z23">
        <f>HYPERLINK("https://klasma.github.io/Logging_1263/klagomålsmail/A 15582-2024 FSC-klagomål mail.docx", "A 15582-2024")</f>
        <v/>
      </c>
      <c r="AA23">
        <f>HYPERLINK("https://klasma.github.io/Logging_1263/tillsyn/A 15582-2024 tillsynsbegäran.docx", "A 15582-2024")</f>
        <v/>
      </c>
      <c r="AB23">
        <f>HYPERLINK("https://klasma.github.io/Logging_1263/tillsynsmail/A 15582-2024 tillsynsbegäran mail.docx", "A 15582-2024")</f>
        <v/>
      </c>
      <c r="AC23">
        <f>HYPERLINK("https://klasma.github.io/Logging_1263/fåglar/A 15582-2024 prioriterade fågelarter.docx", "A 15582-2024")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46219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Fransig jordstjärna</t>
        </is>
      </c>
      <c r="V24">
        <f>HYPERLINK("https://klasma.github.io/Logging_1263/artfynd/A 25054-2026 artfynd.xlsx", "A 25054-2026")</f>
        <v/>
      </c>
      <c r="W24">
        <f>HYPERLINK("https://klasma.github.io/Logging_1263/kartor/A 25054-2026 karta.png", "A 25054-2026")</f>
        <v/>
      </c>
      <c r="Y24">
        <f>HYPERLINK("https://klasma.github.io/Logging_1263/klagomål/A 25054-2026 FSC-klagomål.docx", "A 25054-2026")</f>
        <v/>
      </c>
      <c r="Z24">
        <f>HYPERLINK("https://klasma.github.io/Logging_1263/klagomålsmail/A 25054-2026 FSC-klagomål mail.docx", "A 25054-2026")</f>
        <v/>
      </c>
      <c r="AA24">
        <f>HYPERLINK("https://klasma.github.io/Logging_1263/tillsyn/A 25054-2026 tillsynsbegäran.docx", "A 25054-2026")</f>
        <v/>
      </c>
      <c r="AB24">
        <f>HYPERLINK("https://klasma.github.io/Logging_1263/tillsynsmail/A 25054-2026 tillsynsbegäran mail.docx", "A 25054-2026")</f>
        <v/>
      </c>
    </row>
    <row r="25" ht="15" customHeight="1">
      <c r="A25" t="inlineStr">
        <is>
          <t>A 16684-2023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45030</v>
      </c>
      <c r="E25" s="1" t="n">
        <v>46219</v>
      </c>
      <c r="F25" t="inlineStr">
        <is>
          <t>SKÅNE LÄN</t>
        </is>
      </c>
      <c r="G25" t="inlineStr">
        <is>
          <t>SVEDALA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Större grynsnäcka</t>
        </is>
      </c>
      <c r="V25">
        <f>HYPERLINK("https://klasma.github.io/Logging_1263/artfynd/A 16684-2023 artfynd.xlsx", "A 16684-2023")</f>
        <v/>
      </c>
      <c r="W25">
        <f>HYPERLINK("https://klasma.github.io/Logging_1263/kartor/A 16684-2023 karta.png", "A 16684-2023")</f>
        <v/>
      </c>
      <c r="Y25">
        <f>HYPERLINK("https://klasma.github.io/Logging_1263/klagomål/A 16684-2023 FSC-klagomål.docx", "A 16684-2023")</f>
        <v/>
      </c>
      <c r="Z25">
        <f>HYPERLINK("https://klasma.github.io/Logging_1263/klagomålsmail/A 16684-2023 FSC-klagomål mail.docx", "A 16684-2023")</f>
        <v/>
      </c>
      <c r="AA25">
        <f>HYPERLINK("https://klasma.github.io/Logging_1263/tillsyn/A 16684-2023 tillsynsbegäran.docx", "A 16684-2023")</f>
        <v/>
      </c>
      <c r="AB25">
        <f>HYPERLINK("https://klasma.github.io/Logging_1263/tillsynsmail/A 16684-2023 tillsynsbegäran mail.docx", "A 16684-2023")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46219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Y26">
        <f>HYPERLINK("https://klasma.github.io/Logging_1263/klagomål/S 1996-2026 FSC-klagomål.docx", "S 1996-2026")</f>
        <v/>
      </c>
      <c r="Z26">
        <f>HYPERLINK("https://klasma.github.io/Logging_1263/klagomålsmail/S 1996-2026 FSC-klagomål mail.docx", "S 1996-2026")</f>
        <v/>
      </c>
      <c r="AA26">
        <f>HYPERLINK("https://klasma.github.io/Logging_1263/tillsyn/S 1996-2026 tillsynsbegäran.docx", "S 1996-2026")</f>
        <v/>
      </c>
      <c r="AB26">
        <f>HYPERLINK("https://klasma.github.io/Logging_1263/tillsynsmail/S 1996-2026 tillsynsbegäran mail.docx", "S 1996-2026")</f>
        <v/>
      </c>
      <c r="AC26">
        <f>HYPERLINK("https://klasma.github.io/Logging_1263/fåglar/S 1996-2026 prioriterade fågelarter.docx", "S 1996-2026")</f>
        <v/>
      </c>
    </row>
    <row r="27" ht="15" customHeight="1">
      <c r="A27" t="inlineStr">
        <is>
          <t>A 59432-2022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44907</v>
      </c>
      <c r="E27" s="1" t="n">
        <v>46219</v>
      </c>
      <c r="F27" t="inlineStr">
        <is>
          <t>SKÅNE LÄN</t>
        </is>
      </c>
      <c r="G27" t="inlineStr">
        <is>
          <t>SVEDALA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57798-2022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46219</v>
      </c>
      <c r="F28" t="inlineStr">
        <is>
          <t>SKÅNE LÄN</t>
        </is>
      </c>
      <c r="G28" t="inlineStr">
        <is>
          <t>SVEDALA</t>
        </is>
      </c>
      <c r="I28" t="n">
        <v>8.9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57803-2022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46219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21072-2022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44704</v>
      </c>
      <c r="E30" s="1" t="n">
        <v>46219</v>
      </c>
      <c r="F30" t="inlineStr">
        <is>
          <t>SKÅNE LÄN</t>
        </is>
      </c>
      <c r="G30" t="inlineStr">
        <is>
          <t>SVEDALA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15577-2024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46219</v>
      </c>
      <c r="F31" t="inlineStr">
        <is>
          <t>SKÅNE LÄN</t>
        </is>
      </c>
      <c r="G31" t="inlineStr">
        <is>
          <t>SVEDALA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46219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31701-2023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46219</v>
      </c>
      <c r="F33" t="inlineStr">
        <is>
          <t>SKÅNE LÄN</t>
        </is>
      </c>
      <c r="G33" t="inlineStr">
        <is>
          <t>SVEDALA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31693-2023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46219</v>
      </c>
      <c r="F34" t="inlineStr">
        <is>
          <t>SKÅNE LÄN</t>
        </is>
      </c>
      <c r="G34" t="inlineStr">
        <is>
          <t>SVEDALA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13344-2023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45005</v>
      </c>
      <c r="E35" s="1" t="n">
        <v>46219</v>
      </c>
      <c r="F35" t="inlineStr">
        <is>
          <t>SKÅNE LÄN</t>
        </is>
      </c>
      <c r="G35" t="inlineStr">
        <is>
          <t>SVEDALA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67456-2021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46219</v>
      </c>
      <c r="F36" t="inlineStr">
        <is>
          <t>SKÅNE LÄN</t>
        </is>
      </c>
      <c r="G36" t="inlineStr">
        <is>
          <t>SVEDALA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19190-2023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45048</v>
      </c>
      <c r="E37" s="1" t="n">
        <v>46219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16690-2023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46219</v>
      </c>
      <c r="F38" t="inlineStr">
        <is>
          <t>SKÅNE LÄN</t>
        </is>
      </c>
      <c r="G38" t="inlineStr">
        <is>
          <t>SVEDALA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16199-2024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46219</v>
      </c>
      <c r="F39" t="inlineStr">
        <is>
          <t>SKÅNE LÄN</t>
        </is>
      </c>
      <c r="G39" t="inlineStr">
        <is>
          <t>SVEDALA</t>
        </is>
      </c>
      <c r="I39" t="n">
        <v>13.5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46219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51318-2025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46219</v>
      </c>
      <c r="F41" t="inlineStr">
        <is>
          <t>SKÅNE LÄN</t>
        </is>
      </c>
      <c r="G41" t="inlineStr">
        <is>
          <t>SVEDALA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46219</v>
      </c>
      <c r="F42" t="inlineStr">
        <is>
          <t>SKÅNE LÄN</t>
        </is>
      </c>
      <c r="G42" t="inlineStr">
        <is>
          <t>SVEDALA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19268-2024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46219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46219</v>
      </c>
      <c r="F44" t="inlineStr">
        <is>
          <t>SKÅNE LÄN</t>
        </is>
      </c>
      <c r="G44" t="inlineStr">
        <is>
          <t>SVEDALA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56202-2023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46219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64049-2025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46219</v>
      </c>
      <c r="F46" t="inlineStr">
        <is>
          <t>SKÅNE LÄN</t>
        </is>
      </c>
      <c r="G46" t="inlineStr">
        <is>
          <t>SVEDALA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64051-2025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46219</v>
      </c>
      <c r="F47" t="inlineStr">
        <is>
          <t>SKÅNE LÄN</t>
        </is>
      </c>
      <c r="G47" t="inlineStr">
        <is>
          <t>SVEDALA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46219</v>
      </c>
      <c r="F48" t="inlineStr">
        <is>
          <t>SKÅNE LÄN</t>
        </is>
      </c>
      <c r="G48" t="inlineStr">
        <is>
          <t>SVEDALA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64058-2025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46219</v>
      </c>
      <c r="F49" t="inlineStr">
        <is>
          <t>SKÅNE LÄN</t>
        </is>
      </c>
      <c r="G49" t="inlineStr">
        <is>
          <t>SVEDALA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18888-2024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45427</v>
      </c>
      <c r="E50" s="1" t="n">
        <v>46219</v>
      </c>
      <c r="F50" t="inlineStr">
        <is>
          <t>SKÅNE LÄN</t>
        </is>
      </c>
      <c r="G50" t="inlineStr">
        <is>
          <t>SVEDALA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54280-2023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46219</v>
      </c>
      <c r="F51" t="inlineStr">
        <is>
          <t>SKÅNE LÄN</t>
        </is>
      </c>
      <c r="G51" t="inlineStr">
        <is>
          <t>SVEDALA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15277-2024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45400</v>
      </c>
      <c r="E52" s="1" t="n">
        <v>46219</v>
      </c>
      <c r="F52" t="inlineStr">
        <is>
          <t>SKÅNE LÄN</t>
        </is>
      </c>
      <c r="G52" t="inlineStr">
        <is>
          <t>SVEDALA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46219</v>
      </c>
      <c r="F53" t="inlineStr">
        <is>
          <t>SKÅNE LÄN</t>
        </is>
      </c>
      <c r="G53" t="inlineStr">
        <is>
          <t>SVEDALA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25275-2026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46219</v>
      </c>
      <c r="F54" t="inlineStr">
        <is>
          <t>SKÅNE LÄN</t>
        </is>
      </c>
      <c r="G54" t="inlineStr">
        <is>
          <t>SVEDALA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26080-2026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46219</v>
      </c>
      <c r="F55" t="inlineStr">
        <is>
          <t>SKÅNE LÄN</t>
        </is>
      </c>
      <c r="G55" t="inlineStr">
        <is>
          <t>SVEDALA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29030-2023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46219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26073-2026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46219</v>
      </c>
      <c r="F57" t="inlineStr">
        <is>
          <t>SKÅNE LÄN</t>
        </is>
      </c>
      <c r="G57" t="inlineStr">
        <is>
          <t>SVEDALA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46219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27844-2026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46191</v>
      </c>
      <c r="E59" s="1" t="n">
        <v>46219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46219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46219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2026-07-16T01:26:08Z</dcterms:created>
  <dcterms:modified xmlns:dcterms="http://purl.org/dc/terms/" xmlns:xsi="http://www.w3.org/2001/XMLSchema-instance" xsi:type="dcterms:W3CDTF">2026-07-16T01:26:08Z</dcterms:modified>
</cp:coreProperties>
</file>