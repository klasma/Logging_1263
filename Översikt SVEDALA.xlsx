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25062-2026</t>
        </is>
      </c>
      <c r="B2" s="1" t="n">
        <v>46174</v>
      </c>
      <c r="C2" s="1" t="n">
        <v>46189</v>
      </c>
      <c r="D2" t="inlineStr">
        <is>
          <t>SKÅNE LÄN</t>
        </is>
      </c>
      <c r="E2" t="inlineStr">
        <is>
          <t>SVEDALA</t>
        </is>
      </c>
      <c r="G2" t="n">
        <v>3.3</v>
      </c>
      <c r="H2" t="n">
        <v>2</v>
      </c>
      <c r="I2" t="n">
        <v>9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13</v>
      </c>
      <c r="R2" s="2" t="inlineStr">
        <is>
          <t>Ask
Lundäxing
Skogsveronika
Hässleklocka
Lundvårlök
Myskmadra
Rutbläcksvamp
Skogsknipprot
Stor häxört
Sårläka
Tibast
Vårärt
Sankt pers nycklar</t>
        </is>
      </c>
      <c r="S2">
        <f>HYPERLINK("https://klasma.github.io/Logging_1263/artfynd/A 25062-2026 artfynd.xlsx", "A 25062-2026")</f>
        <v/>
      </c>
      <c r="T2">
        <f>HYPERLINK("https://klasma.github.io/Logging_1263/kartor/A 25062-2026 karta.png", "A 25062-2026")</f>
        <v/>
      </c>
      <c r="V2">
        <f>HYPERLINK("https://klasma.github.io/Logging_1263/klagomål/A 25062-2026 FSC-klagomål.docx", "A 25062-2026")</f>
        <v/>
      </c>
      <c r="W2">
        <f>HYPERLINK("https://klasma.github.io/Logging_1263/klagomålsmail/A 25062-2026 FSC-klagomål mail.docx", "A 25062-2026")</f>
        <v/>
      </c>
      <c r="X2">
        <f>HYPERLINK("https://klasma.github.io/Logging_1263/tillsyn/A 25062-2026 tillsynsbegäran.docx", "A 25062-2026")</f>
        <v/>
      </c>
      <c r="Y2">
        <f>HYPERLINK("https://klasma.github.io/Logging_1263/tillsynsmail/A 25062-2026 tillsynsbegäran mail.docx", "A 25062-2026")</f>
        <v/>
      </c>
    </row>
    <row r="3" ht="15" customHeight="1">
      <c r="A3" t="inlineStr">
        <is>
          <t>A 14150-2023</t>
        </is>
      </c>
      <c r="B3" s="1" t="n">
        <v>45009</v>
      </c>
      <c r="C3" s="1" t="n">
        <v>46189</v>
      </c>
      <c r="D3" t="inlineStr">
        <is>
          <t>SKÅNE LÄN</t>
        </is>
      </c>
      <c r="E3" t="inlineStr">
        <is>
          <t>SVEDALA</t>
        </is>
      </c>
      <c r="G3" t="n">
        <v>2.5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Hypoxylon petriniae
Guldlockmossa
Lönnlav
Platt fjädermossa
Tibast</t>
        </is>
      </c>
      <c r="S3">
        <f>HYPERLINK("https://klasma.github.io/Logging_1263/artfynd/A 14150-2023 artfynd.xlsx", "A 14150-2023")</f>
        <v/>
      </c>
      <c r="T3">
        <f>HYPERLINK("https://klasma.github.io/Logging_1263/kartor/A 14150-2023 karta.png", "A 14150-2023")</f>
        <v/>
      </c>
      <c r="V3">
        <f>HYPERLINK("https://klasma.github.io/Logging_1263/klagomål/A 14150-2023 FSC-klagomål.docx", "A 14150-2023")</f>
        <v/>
      </c>
      <c r="W3">
        <f>HYPERLINK("https://klasma.github.io/Logging_1263/klagomålsmail/A 14150-2023 FSC-klagomål mail.docx", "A 14150-2023")</f>
        <v/>
      </c>
      <c r="X3">
        <f>HYPERLINK("https://klasma.github.io/Logging_1263/tillsyn/A 14150-2023 tillsynsbegäran.docx", "A 14150-2023")</f>
        <v/>
      </c>
      <c r="Y3">
        <f>HYPERLINK("https://klasma.github.io/Logging_1263/tillsynsmail/A 14150-2023 tillsynsbegäran mail.docx", "A 14150-2023")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46189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29032-2023</t>
        </is>
      </c>
      <c r="B5" s="1" t="n">
        <v>45104</v>
      </c>
      <c r="C5" s="1" t="n">
        <v>46189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Grönsångare
Åkergroda
Vanlig groda</t>
        </is>
      </c>
      <c r="S5">
        <f>HYPERLINK("https://klasma.github.io/Logging_1263/artfynd/A 29032-2023 artfynd.xlsx", "A 29032-2023")</f>
        <v/>
      </c>
      <c r="T5">
        <f>HYPERLINK("https://klasma.github.io/Logging_1263/kartor/A 29032-2023 karta.png", "A 29032-2023")</f>
        <v/>
      </c>
      <c r="V5">
        <f>HYPERLINK("https://klasma.github.io/Logging_1263/klagomål/A 29032-2023 FSC-klagomål.docx", "A 29032-2023")</f>
        <v/>
      </c>
      <c r="W5">
        <f>HYPERLINK("https://klasma.github.io/Logging_1263/klagomålsmail/A 29032-2023 FSC-klagomål mail.docx", "A 29032-2023")</f>
        <v/>
      </c>
      <c r="X5">
        <f>HYPERLINK("https://klasma.github.io/Logging_1263/tillsyn/A 29032-2023 tillsynsbegäran.docx", "A 29032-2023")</f>
        <v/>
      </c>
      <c r="Y5">
        <f>HYPERLINK("https://klasma.github.io/Logging_1263/tillsynsmail/A 29032-2023 tillsynsbegäran mail.docx", "A 29032-2023")</f>
        <v/>
      </c>
      <c r="Z5">
        <f>HYPERLINK("https://klasma.github.io/Logging_1263/fåglar/A 29032-2023 prioriterade fågelarter.docx", "A 29032-2023")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46189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46189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46189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46189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26073-2026</t>
        </is>
      </c>
      <c r="B10" s="1" t="n">
        <v>46181</v>
      </c>
      <c r="C10" s="1" t="n">
        <v>46189</v>
      </c>
      <c r="D10" t="inlineStr">
        <is>
          <t>SKÅNE LÄN</t>
        </is>
      </c>
      <c r="E10" t="inlineStr">
        <is>
          <t>SVEDALA</t>
        </is>
      </c>
      <c r="G10" t="n">
        <v>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Skräntärna
Ängsnycklar</t>
        </is>
      </c>
      <c r="S10">
        <f>HYPERLINK("https://klasma.github.io/Logging_1263/artfynd/A 26073-2026 artfynd.xlsx", "A 26073-2026")</f>
        <v/>
      </c>
      <c r="T10">
        <f>HYPERLINK("https://klasma.github.io/Logging_1263/kartor/A 26073-2026 karta.png", "A 26073-2026")</f>
        <v/>
      </c>
      <c r="V10">
        <f>HYPERLINK("https://klasma.github.io/Logging_1263/klagomål/A 26073-2026 FSC-klagomål.docx", "A 26073-2026")</f>
        <v/>
      </c>
      <c r="W10">
        <f>HYPERLINK("https://klasma.github.io/Logging_1263/klagomålsmail/A 26073-2026 FSC-klagomål mail.docx", "A 26073-2026")</f>
        <v/>
      </c>
      <c r="X10">
        <f>HYPERLINK("https://klasma.github.io/Logging_1263/tillsyn/A 26073-2026 tillsynsbegäran.docx", "A 26073-2026")</f>
        <v/>
      </c>
      <c r="Y10">
        <f>HYPERLINK("https://klasma.github.io/Logging_1263/tillsynsmail/A 26073-2026 tillsynsbegäran mail.docx", "A 26073-2026")</f>
        <v/>
      </c>
    </row>
    <row r="11" ht="15" customHeight="1">
      <c r="A11" t="inlineStr">
        <is>
          <t>A 18464-2022</t>
        </is>
      </c>
      <c r="B11" s="1" t="n">
        <v>44686</v>
      </c>
      <c r="C11" s="1" t="n">
        <v>46189</v>
      </c>
      <c r="D11" t="inlineStr">
        <is>
          <t>SKÅNE LÄN</t>
        </is>
      </c>
      <c r="E11" t="inlineStr">
        <is>
          <t>SVEDALA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HYPERLINK("https://klasma.github.io/Logging_1263/artfynd/A 18464-2022 artfynd.xlsx", "A 18464-2022")</f>
        <v/>
      </c>
      <c r="T11">
        <f>HYPERLINK("https://klasma.github.io/Logging_1263/kartor/A 18464-2022 karta.png", "A 18464-2022")</f>
        <v/>
      </c>
      <c r="V11">
        <f>HYPERLINK("https://klasma.github.io/Logging_1263/klagomål/A 18464-2022 FSC-klagomål.docx", "A 18464-2022")</f>
        <v/>
      </c>
      <c r="W11">
        <f>HYPERLINK("https://klasma.github.io/Logging_1263/klagomålsmail/A 18464-2022 FSC-klagomål mail.docx", "A 18464-2022")</f>
        <v/>
      </c>
      <c r="X11">
        <f>HYPERLINK("https://klasma.github.io/Logging_1263/tillsyn/A 18464-2022 tillsynsbegäran.docx", "A 18464-2022")</f>
        <v/>
      </c>
      <c r="Y11">
        <f>HYPERLINK("https://klasma.github.io/Logging_1263/tillsynsmail/A 18464-2022 tillsynsbegäran mail.docx", "A 18464-2022")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46189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46189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31700-2023</t>
        </is>
      </c>
      <c r="B14" s="1" t="n">
        <v>45117</v>
      </c>
      <c r="C14" s="1" t="n">
        <v>46189</v>
      </c>
      <c r="D14" t="inlineStr">
        <is>
          <t>SKÅNE LÄN</t>
        </is>
      </c>
      <c r="E14" t="inlineStr">
        <is>
          <t>SVEDALA</t>
        </is>
      </c>
      <c r="G14" t="n">
        <v>1.1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Revig blodrot</t>
        </is>
      </c>
      <c r="S14">
        <f>HYPERLINK("https://klasma.github.io/Logging_1263/artfynd/A 31700-2023 artfynd.xlsx", "A 31700-2023")</f>
        <v/>
      </c>
      <c r="T14">
        <f>HYPERLINK("https://klasma.github.io/Logging_1263/kartor/A 31700-2023 karta.png", "A 31700-2023")</f>
        <v/>
      </c>
      <c r="V14">
        <f>HYPERLINK("https://klasma.github.io/Logging_1263/klagomål/A 31700-2023 FSC-klagomål.docx", "A 31700-2023")</f>
        <v/>
      </c>
      <c r="W14">
        <f>HYPERLINK("https://klasma.github.io/Logging_1263/klagomålsmail/A 31700-2023 FSC-klagomål mail.docx", "A 31700-2023")</f>
        <v/>
      </c>
      <c r="X14">
        <f>HYPERLINK("https://klasma.github.io/Logging_1263/tillsyn/A 31700-2023 tillsynsbegäran.docx", "A 31700-2023")</f>
        <v/>
      </c>
      <c r="Y14">
        <f>HYPERLINK("https://klasma.github.io/Logging_1263/tillsynsmail/A 31700-2023 tillsynsbegäran mail.docx", "A 31700-2023")</f>
        <v/>
      </c>
    </row>
    <row r="15" ht="15" customHeight="1">
      <c r="A15" t="inlineStr">
        <is>
          <t>A 25022-2026</t>
        </is>
      </c>
      <c r="B15" s="1" t="n">
        <v>46174</v>
      </c>
      <c r="C15" s="1" t="n">
        <v>46189</v>
      </c>
      <c r="D15" t="inlineStr">
        <is>
          <t>SKÅNE LÄN</t>
        </is>
      </c>
      <c r="E15" t="inlineStr">
        <is>
          <t>SVEDALA</t>
        </is>
      </c>
      <c r="G15" t="n">
        <v>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HYPERLINK("https://klasma.github.io/Logging_1263/artfynd/A 25022-2026 artfynd.xlsx", "A 25022-2026")</f>
        <v/>
      </c>
      <c r="T15">
        <f>HYPERLINK("https://klasma.github.io/Logging_1263/kartor/A 25022-2026 karta.png", "A 25022-2026")</f>
        <v/>
      </c>
      <c r="V15">
        <f>HYPERLINK("https://klasma.github.io/Logging_1263/klagomål/A 25022-2026 FSC-klagomål.docx", "A 25022-2026")</f>
        <v/>
      </c>
      <c r="W15">
        <f>HYPERLINK("https://klasma.github.io/Logging_1263/klagomålsmail/A 25022-2026 FSC-klagomål mail.docx", "A 25022-2026")</f>
        <v/>
      </c>
      <c r="X15">
        <f>HYPERLINK("https://klasma.github.io/Logging_1263/tillsyn/A 25022-2026 tillsynsbegäran.docx", "A 25022-2026")</f>
        <v/>
      </c>
      <c r="Y15">
        <f>HYPERLINK("https://klasma.github.io/Logging_1263/tillsynsmail/A 25022-2026 tillsynsbegäran mail.docx", "A 25022-2026")</f>
        <v/>
      </c>
    </row>
    <row r="16" ht="15" customHeight="1">
      <c r="A16" t="inlineStr">
        <is>
          <t>A 25054-2026</t>
        </is>
      </c>
      <c r="B16" s="1" t="n">
        <v>46174</v>
      </c>
      <c r="C16" s="1" t="n">
        <v>46189</v>
      </c>
      <c r="D16" t="inlineStr">
        <is>
          <t>SKÅNE LÄN</t>
        </is>
      </c>
      <c r="E16" t="inlineStr">
        <is>
          <t>SVEDALA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Fransig jordstjärna</t>
        </is>
      </c>
      <c r="S16">
        <f>HYPERLINK("https://klasma.github.io/Logging_1263/artfynd/A 25054-2026 artfynd.xlsx", "A 25054-2026")</f>
        <v/>
      </c>
      <c r="T16">
        <f>HYPERLINK("https://klasma.github.io/Logging_1263/kartor/A 25054-2026 karta.png", "A 25054-2026")</f>
        <v/>
      </c>
      <c r="V16">
        <f>HYPERLINK("https://klasma.github.io/Logging_1263/klagomål/A 25054-2026 FSC-klagomål.docx", "A 25054-2026")</f>
        <v/>
      </c>
      <c r="W16">
        <f>HYPERLINK("https://klasma.github.io/Logging_1263/klagomålsmail/A 25054-2026 FSC-klagomål mail.docx", "A 25054-2026")</f>
        <v/>
      </c>
      <c r="X16">
        <f>HYPERLINK("https://klasma.github.io/Logging_1263/tillsyn/A 25054-2026 tillsynsbegäran.docx", "A 25054-2026")</f>
        <v/>
      </c>
      <c r="Y16">
        <f>HYPERLINK("https://klasma.github.io/Logging_1263/tillsynsmail/A 25054-2026 tillsynsbegäran mail.docx", "A 25054-2026")</f>
        <v/>
      </c>
    </row>
    <row r="17" ht="15" customHeight="1">
      <c r="A17" t="inlineStr">
        <is>
          <t>A 2482-2025</t>
        </is>
      </c>
      <c r="B17" s="1" t="n">
        <v>45674</v>
      </c>
      <c r="C17" s="1" t="n">
        <v>46189</v>
      </c>
      <c r="D17" t="inlineStr">
        <is>
          <t>SKÅNE LÄN</t>
        </is>
      </c>
      <c r="E17" t="inlineStr">
        <is>
          <t>SVEDALA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Korallticka</t>
        </is>
      </c>
      <c r="S17">
        <f>HYPERLINK("https://klasma.github.io/Logging_1263/artfynd/A 2482-2025 artfynd.xlsx", "A 2482-2025")</f>
        <v/>
      </c>
      <c r="T17">
        <f>HYPERLINK("https://klasma.github.io/Logging_1263/kartor/A 2482-2025 karta.png", "A 2482-2025")</f>
        <v/>
      </c>
      <c r="V17">
        <f>HYPERLINK("https://klasma.github.io/Logging_1263/klagomål/A 2482-2025 FSC-klagomål.docx", "A 2482-2025")</f>
        <v/>
      </c>
      <c r="W17">
        <f>HYPERLINK("https://klasma.github.io/Logging_1263/klagomålsmail/A 2482-2025 FSC-klagomål mail.docx", "A 2482-2025")</f>
        <v/>
      </c>
      <c r="X17">
        <f>HYPERLINK("https://klasma.github.io/Logging_1263/tillsyn/A 2482-2025 tillsynsbegäran.docx", "A 2482-2025")</f>
        <v/>
      </c>
      <c r="Y17">
        <f>HYPERLINK("https://klasma.github.io/Logging_1263/tillsynsmail/A 2482-2025 tillsynsbegäran mail.docx", "A 2482-2025")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46189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46189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21072-2022</t>
        </is>
      </c>
      <c r="B20" s="1" t="n">
        <v>44704</v>
      </c>
      <c r="C20" s="1" t="n">
        <v>46189</v>
      </c>
      <c r="D20" t="inlineStr">
        <is>
          <t>SKÅNE LÄN</t>
        </is>
      </c>
      <c r="E20" t="inlineStr">
        <is>
          <t>SVEDALA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46189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46189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46189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46189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31393-2021</t>
        </is>
      </c>
      <c r="B25" s="1" t="n">
        <v>44368</v>
      </c>
      <c r="C25" s="1" t="n">
        <v>46189</v>
      </c>
      <c r="D25" t="inlineStr">
        <is>
          <t>SKÅNE LÄN</t>
        </is>
      </c>
      <c r="E25" t="inlineStr">
        <is>
          <t>SVEDALA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31693-2023</t>
        </is>
      </c>
      <c r="B26" s="1" t="n">
        <v>45117</v>
      </c>
      <c r="C26" s="1" t="n">
        <v>46189</v>
      </c>
      <c r="D26" t="inlineStr">
        <is>
          <t>SKÅNE LÄN</t>
        </is>
      </c>
      <c r="E26" t="inlineStr">
        <is>
          <t>SVEDALA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13344-2023</t>
        </is>
      </c>
      <c r="B27" s="1" t="n">
        <v>45005</v>
      </c>
      <c r="C27" s="1" t="n">
        <v>46189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46189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2408-2025</t>
        </is>
      </c>
      <c r="B29" s="1" t="n">
        <v>45674.36113425926</v>
      </c>
      <c r="C29" s="1" t="n">
        <v>46189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2415-2025</t>
        </is>
      </c>
      <c r="B30" s="1" t="n">
        <v>45674.379375</v>
      </c>
      <c r="C30" s="1" t="n">
        <v>46189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46189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59432-2022</t>
        </is>
      </c>
      <c r="B32" s="1" t="n">
        <v>44907</v>
      </c>
      <c r="C32" s="1" t="n">
        <v>46189</v>
      </c>
      <c r="D32" t="inlineStr">
        <is>
          <t>SKÅNE LÄN</t>
        </is>
      </c>
      <c r="E32" t="inlineStr">
        <is>
          <t>SVEDALA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46189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46189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15577-2024</t>
        </is>
      </c>
      <c r="B35" s="1" t="n">
        <v>45401.68829861111</v>
      </c>
      <c r="C35" s="1" t="n">
        <v>46189</v>
      </c>
      <c r="D35" t="inlineStr">
        <is>
          <t>SKÅNE LÄN</t>
        </is>
      </c>
      <c r="E35" t="inlineStr">
        <is>
          <t>SVEDALA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46189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46189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46189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51318-2025</t>
        </is>
      </c>
      <c r="B39" s="1" t="n">
        <v>45950.38170138889</v>
      </c>
      <c r="C39" s="1" t="n">
        <v>46189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46189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54284-2023</t>
        </is>
      </c>
      <c r="B41" s="1" t="n">
        <v>45232</v>
      </c>
      <c r="C41" s="1" t="n">
        <v>46189</v>
      </c>
      <c r="D41" t="inlineStr">
        <is>
          <t>SKÅNE LÄN</t>
        </is>
      </c>
      <c r="E41" t="inlineStr">
        <is>
          <t>SVEDALA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56202-2023</t>
        </is>
      </c>
      <c r="B42" s="1" t="n">
        <v>45240</v>
      </c>
      <c r="C42" s="1" t="n">
        <v>46189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46189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54280-2023</t>
        </is>
      </c>
      <c r="B44" s="1" t="n">
        <v>45232.69518518518</v>
      </c>
      <c r="C44" s="1" t="n">
        <v>46189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64060-2025</t>
        </is>
      </c>
      <c r="B45" s="1" t="n">
        <v>46021.6172337963</v>
      </c>
      <c r="C45" s="1" t="n">
        <v>46189</v>
      </c>
      <c r="D45" t="inlineStr">
        <is>
          <t>SKÅNE LÄN</t>
        </is>
      </c>
      <c r="E45" t="inlineStr">
        <is>
          <t>SVEDALA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46189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46189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64049-2025</t>
        </is>
      </c>
      <c r="B48" s="1" t="n">
        <v>46021</v>
      </c>
      <c r="C48" s="1" t="n">
        <v>46189</v>
      </c>
      <c r="D48" t="inlineStr">
        <is>
          <t>SKÅNE LÄN</t>
        </is>
      </c>
      <c r="E48" t="inlineStr">
        <is>
          <t>SVEDALA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64051-2025</t>
        </is>
      </c>
      <c r="B49" s="1" t="n">
        <v>46021</v>
      </c>
      <c r="C49" s="1" t="n">
        <v>46189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64055-2025</t>
        </is>
      </c>
      <c r="B50" s="1" t="n">
        <v>46021</v>
      </c>
      <c r="C50" s="1" t="n">
        <v>46189</v>
      </c>
      <c r="D50" t="inlineStr">
        <is>
          <t>SKÅNE LÄN</t>
        </is>
      </c>
      <c r="E50" t="inlineStr">
        <is>
          <t>SVEDALA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64058-2025</t>
        </is>
      </c>
      <c r="B51" s="1" t="n">
        <v>46021</v>
      </c>
      <c r="C51" s="1" t="n">
        <v>46189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46189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46189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9570-2026</t>
        </is>
      </c>
      <c r="B54" s="1" t="n">
        <v>46070</v>
      </c>
      <c r="C54" s="1" t="n">
        <v>46189</v>
      </c>
      <c r="D54" t="inlineStr">
        <is>
          <t>SKÅNE LÄN</t>
        </is>
      </c>
      <c r="E54" t="inlineStr">
        <is>
          <t>SVEDALA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25049-2026</t>
        </is>
      </c>
      <c r="B55" s="1" t="n">
        <v>46174</v>
      </c>
      <c r="C55" s="1" t="n">
        <v>46189</v>
      </c>
      <c r="D55" t="inlineStr">
        <is>
          <t>SKÅNE LÄN</t>
        </is>
      </c>
      <c r="E55" t="inlineStr">
        <is>
          <t>SVEDALA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18888-2024</t>
        </is>
      </c>
      <c r="B56" s="1" t="n">
        <v>45427</v>
      </c>
      <c r="C56" s="1" t="n">
        <v>46189</v>
      </c>
      <c r="D56" t="inlineStr">
        <is>
          <t>SKÅNE LÄN</t>
        </is>
      </c>
      <c r="E56" t="inlineStr">
        <is>
          <t>SVEDALA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25275-2026</t>
        </is>
      </c>
      <c r="B57" s="1" t="n">
        <v>46176</v>
      </c>
      <c r="C57" s="1" t="n">
        <v>46189</v>
      </c>
      <c r="D57" t="inlineStr">
        <is>
          <t>SKÅNE LÄN</t>
        </is>
      </c>
      <c r="E57" t="inlineStr">
        <is>
          <t>SVEDALA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26080-2026</t>
        </is>
      </c>
      <c r="B58" s="1" t="n">
        <v>46181</v>
      </c>
      <c r="C58" s="1" t="n">
        <v>46189</v>
      </c>
      <c r="D58" t="inlineStr">
        <is>
          <t>SKÅNE LÄN</t>
        </is>
      </c>
      <c r="E58" t="inlineStr">
        <is>
          <t>SVEDALA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29817-2025</t>
        </is>
      </c>
      <c r="B59" s="1" t="n">
        <v>45825</v>
      </c>
      <c r="C59" s="1" t="n">
        <v>46189</v>
      </c>
      <c r="D59" t="inlineStr">
        <is>
          <t>SKÅNE LÄN</t>
        </is>
      </c>
      <c r="E59" t="inlineStr">
        <is>
          <t>SVEDALA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12953-2025</t>
        </is>
      </c>
      <c r="B60" s="1" t="n">
        <v>45734</v>
      </c>
      <c r="C60" s="1" t="n">
        <v>46189</v>
      </c>
      <c r="D60" t="inlineStr">
        <is>
          <t>SKÅNE LÄN</t>
        </is>
      </c>
      <c r="E60" t="inlineStr">
        <is>
          <t>SVEDALA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2026-06-16T12:55:04Z</dcterms:created>
  <dcterms:modified xmlns:dcterms="http://purl.org/dc/terms/" xmlns:xsi="http://www.w3.org/2001/XMLSchema-instance" xsi:type="dcterms:W3CDTF">2026-06-16T12:55:04Z</dcterms:modified>
</cp:coreProperties>
</file>