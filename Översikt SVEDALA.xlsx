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46191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46191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  <c r="Z4">
        <f>HYPERLINK("https://klasma.github.io/Logging_1263/fåglar/A 28247-2025 prioriterade fågelarter.docx",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46191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46191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46191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  <c r="Z9">
        <f>HYPERLINK("https://klasma.github.io/Logging_1263/fåglar/A 16122-2024 prioriterade fågelarter.docx",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46191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38011-2023</t>
        </is>
      </c>
      <c r="B11" s="1" t="n">
        <v>45160</v>
      </c>
      <c r="C11" s="1" t="n">
        <v>46191</v>
      </c>
      <c r="D11" t="inlineStr">
        <is>
          <t>SKÅNE LÄN</t>
        </is>
      </c>
      <c r="E11" t="inlineStr">
        <is>
          <t>SVEDALA</t>
        </is>
      </c>
      <c r="G11" t="n">
        <v>2.8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Lökgroda
Skogsknipprot</t>
        </is>
      </c>
      <c r="S11">
        <f>HYPERLINK("https://klasma.github.io/Logging_1263/artfynd/A 38011-2023 artfynd.xlsx", "A 38011-2023")</f>
        <v/>
      </c>
      <c r="T11">
        <f>HYPERLINK("https://klasma.github.io/Logging_1263/kartor/A 38011-2023 karta.png", "A 38011-2023")</f>
        <v/>
      </c>
      <c r="V11">
        <f>HYPERLINK("https://klasma.github.io/Logging_1263/klagomål/A 38011-2023 FSC-klagomål.docx", "A 38011-2023")</f>
        <v/>
      </c>
      <c r="W11">
        <f>HYPERLINK("https://klasma.github.io/Logging_1263/klagomålsmail/A 38011-2023 FSC-klagomål mail.docx", "A 38011-2023")</f>
        <v/>
      </c>
      <c r="X11">
        <f>HYPERLINK("https://klasma.github.io/Logging_1263/tillsyn/A 38011-2023 tillsynsbegäran.docx", "A 38011-2023")</f>
        <v/>
      </c>
      <c r="Y11">
        <f>HYPERLINK("https://klasma.github.io/Logging_1263/tillsynsmail/A 38011-2023 tillsynsbegäran mail.docx", "A 38011-2023")</f>
        <v/>
      </c>
    </row>
    <row r="12" ht="15" customHeight="1">
      <c r="A12" t="inlineStr">
        <is>
          <t>A 31697-2023</t>
        </is>
      </c>
      <c r="B12" s="1" t="n">
        <v>45117</v>
      </c>
      <c r="C12" s="1" t="n">
        <v>46191</v>
      </c>
      <c r="D12" t="inlineStr">
        <is>
          <t>SKÅNE LÄN</t>
        </is>
      </c>
      <c r="E12" t="inlineStr">
        <is>
          <t>SVEDALA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Lövgroda
Större vattensalamander</t>
        </is>
      </c>
      <c r="S12">
        <f>HYPERLINK("https://klasma.github.io/Logging_1263/artfynd/A 31697-2023 artfynd.xlsx", "A 31697-2023")</f>
        <v/>
      </c>
      <c r="T12">
        <f>HYPERLINK("https://klasma.github.io/Logging_1263/kartor/A 31697-2023 karta.png", "A 31697-2023")</f>
        <v/>
      </c>
      <c r="V12">
        <f>HYPERLINK("https://klasma.github.io/Logging_1263/klagomål/A 31697-2023 FSC-klagomål.docx", "A 31697-2023")</f>
        <v/>
      </c>
      <c r="W12">
        <f>HYPERLINK("https://klasma.github.io/Logging_1263/klagomålsmail/A 31697-2023 FSC-klagomål mail.docx", "A 31697-2023")</f>
        <v/>
      </c>
      <c r="X12">
        <f>HYPERLINK("https://klasma.github.io/Logging_1263/tillsyn/A 31697-2023 tillsynsbegäran.docx", "A 31697-2023")</f>
        <v/>
      </c>
      <c r="Y12">
        <f>HYPERLINK("https://klasma.github.io/Logging_1263/tillsynsmail/A 31697-2023 tillsynsbegäran mail.docx", "A 31697-2023")</f>
        <v/>
      </c>
    </row>
    <row r="13" ht="15" customHeight="1">
      <c r="A13" t="inlineStr">
        <is>
          <t>A 9570-2026</t>
        </is>
      </c>
      <c r="B13" s="1" t="n">
        <v>46070</v>
      </c>
      <c r="C13" s="1" t="n">
        <v>46191</v>
      </c>
      <c r="D13" t="inlineStr">
        <is>
          <t>SKÅNE LÄN</t>
        </is>
      </c>
      <c r="E13" t="inlineStr">
        <is>
          <t>SVEDALA</t>
        </is>
      </c>
      <c r="G13" t="n">
        <v>6.6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HYPERLINK("https://klasma.github.io/Logging_1263/artfynd/A 9570-2026 artfynd.xlsx", "A 9570-2026")</f>
        <v/>
      </c>
      <c r="T13">
        <f>HYPERLINK("https://klasma.github.io/Logging_1263/kartor/A 9570-2026 karta.png", "A 9570-2026")</f>
        <v/>
      </c>
      <c r="V13">
        <f>HYPERLINK("https://klasma.github.io/Logging_1263/klagomål/A 9570-2026 FSC-klagomål.docx", "A 9570-2026")</f>
        <v/>
      </c>
      <c r="W13">
        <f>HYPERLINK("https://klasma.github.io/Logging_1263/klagomålsmail/A 9570-2026 FSC-klagomål mail.docx", "A 9570-2026")</f>
        <v/>
      </c>
      <c r="X13">
        <f>HYPERLINK("https://klasma.github.io/Logging_1263/tillsyn/A 9570-2026 tillsynsbegäran.docx", "A 9570-2026")</f>
        <v/>
      </c>
      <c r="Y13">
        <f>HYPERLINK("https://klasma.github.io/Logging_1263/tillsynsmail/A 9570-2026 tillsynsbegäran mail.docx", "A 9570-2026")</f>
        <v/>
      </c>
    </row>
    <row r="14" ht="15" customHeight="1">
      <c r="A14" t="inlineStr">
        <is>
          <t>A 58350-2025</t>
        </is>
      </c>
      <c r="B14" s="1" t="n">
        <v>45985</v>
      </c>
      <c r="C14" s="1" t="n">
        <v>46191</v>
      </c>
      <c r="D14" t="inlineStr">
        <is>
          <t>SKÅNE LÄN</t>
        </is>
      </c>
      <c r="E14" t="inlineStr">
        <is>
          <t>SVEDALA</t>
        </is>
      </c>
      <c r="G14" t="n">
        <v>6.9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Koralltaggsvamp
Stor revmossa</t>
        </is>
      </c>
      <c r="S14">
        <f>HYPERLINK("https://klasma.github.io/Logging_1263/artfynd/A 58350-2025 artfynd.xlsx", "A 58350-2025")</f>
        <v/>
      </c>
      <c r="T14">
        <f>HYPERLINK("https://klasma.github.io/Logging_1263/kartor/A 58350-2025 karta.png", "A 58350-2025")</f>
        <v/>
      </c>
      <c r="V14">
        <f>HYPERLINK("https://klasma.github.io/Logging_1263/klagomål/A 58350-2025 FSC-klagomål.docx", "A 58350-2025")</f>
        <v/>
      </c>
      <c r="W14">
        <f>HYPERLINK("https://klasma.github.io/Logging_1263/klagomålsmail/A 58350-2025 FSC-klagomål mail.docx", "A 58350-2025")</f>
        <v/>
      </c>
      <c r="X14">
        <f>HYPERLINK("https://klasma.github.io/Logging_1263/tillsyn/A 58350-2025 tillsynsbegäran.docx", "A 58350-2025")</f>
        <v/>
      </c>
      <c r="Y14">
        <f>HYPERLINK("https://klasma.github.io/Logging_1263/tillsynsmail/A 58350-2025 tillsynsbegäran mail.docx", "A 58350-2025")</f>
        <v/>
      </c>
    </row>
    <row r="15" ht="15" customHeight="1">
      <c r="A15" t="inlineStr">
        <is>
          <t>A 25022-2026</t>
        </is>
      </c>
      <c r="B15" s="1" t="n">
        <v>46174</v>
      </c>
      <c r="C15" s="1" t="n">
        <v>46191</v>
      </c>
      <c r="D15" t="inlineStr">
        <is>
          <t>SKÅNE LÄN</t>
        </is>
      </c>
      <c r="E15" t="inlineStr">
        <is>
          <t>SVEDALA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tåtelsmygare
Skogsknipprot</t>
        </is>
      </c>
      <c r="S15">
        <f>HYPERLINK("https://klasma.github.io/Logging_1263/artfynd/A 25022-2026 artfynd.xlsx", "A 25022-2026")</f>
        <v/>
      </c>
      <c r="T15">
        <f>HYPERLINK("https://klasma.github.io/Logging_1263/kartor/A 25022-2026 karta.png", "A 25022-2026")</f>
        <v/>
      </c>
      <c r="V15">
        <f>HYPERLINK("https://klasma.github.io/Logging_1263/klagomål/A 25022-2026 FSC-klagomål.docx", "A 25022-2026")</f>
        <v/>
      </c>
      <c r="W15">
        <f>HYPERLINK("https://klasma.github.io/Logging_1263/klagomålsmail/A 25022-2026 FSC-klagomål mail.docx", "A 25022-2026")</f>
        <v/>
      </c>
      <c r="X15">
        <f>HYPERLINK("https://klasma.github.io/Logging_1263/tillsyn/A 25022-2026 tillsynsbegäran.docx", "A 25022-2026")</f>
        <v/>
      </c>
      <c r="Y15">
        <f>HYPERLINK("https://klasma.github.io/Logging_1263/tillsynsmail/A 25022-2026 tillsynsbegäran mail.docx", "A 25022-2026")</f>
        <v/>
      </c>
    </row>
    <row r="16" ht="15" customHeight="1">
      <c r="A16" t="inlineStr">
        <is>
          <t>A 2482-2025</t>
        </is>
      </c>
      <c r="B16" s="1" t="n">
        <v>45674</v>
      </c>
      <c r="C16" s="1" t="n">
        <v>46191</v>
      </c>
      <c r="D16" t="inlineStr">
        <is>
          <t>SKÅNE LÄN</t>
        </is>
      </c>
      <c r="E16" t="inlineStr">
        <is>
          <t>SVEDALA</t>
        </is>
      </c>
      <c r="G16" t="n">
        <v>0.5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Korallticka
Ekoxe</t>
        </is>
      </c>
      <c r="S16">
        <f>HYPERLINK("https://klasma.github.io/Logging_1263/artfynd/A 2482-2025 artfynd.xlsx", "A 2482-2025")</f>
        <v/>
      </c>
      <c r="T16">
        <f>HYPERLINK("https://klasma.github.io/Logging_1263/kartor/A 2482-2025 karta.png", "A 2482-2025")</f>
        <v/>
      </c>
      <c r="V16">
        <f>HYPERLINK("https://klasma.github.io/Logging_1263/klagomål/A 2482-2025 FSC-klagomål.docx", "A 2482-2025")</f>
        <v/>
      </c>
      <c r="W16">
        <f>HYPERLINK("https://klasma.github.io/Logging_1263/klagomålsmail/A 2482-2025 FSC-klagomål mail.docx", "A 2482-2025")</f>
        <v/>
      </c>
      <c r="X16">
        <f>HYPERLINK("https://klasma.github.io/Logging_1263/tillsyn/A 2482-2025 tillsynsbegäran.docx", "A 2482-2025")</f>
        <v/>
      </c>
      <c r="Y16">
        <f>HYPERLINK("https://klasma.github.io/Logging_1263/tillsynsmail/A 2482-2025 tillsynsbegäran mail.docx", "A 2482-2025")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46191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  <c r="Z18">
        <f>HYPERLINK("https://klasma.github.io/Logging_1263/fåglar/A 27107-2022 prioriterade fågelarter.docx", "A 27107-2022")</f>
        <v/>
      </c>
    </row>
    <row r="19" ht="15" customHeight="1">
      <c r="A19" t="inlineStr">
        <is>
          <t>A 15582-2024</t>
        </is>
      </c>
      <c r="B19" s="1" t="n">
        <v>45401</v>
      </c>
      <c r="C19" s="1" t="n">
        <v>46191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HYPERLINK("https://klasma.github.io/Logging_1263/artfynd/A 15582-2024 artfynd.xlsx", "A 15582-2024")</f>
        <v/>
      </c>
      <c r="T19">
        <f>HYPERLINK("https://klasma.github.io/Logging_1263/kartor/A 15582-2024 karta.png", "A 15582-2024")</f>
        <v/>
      </c>
      <c r="V19">
        <f>HYPERLINK("https://klasma.github.io/Logging_1263/klagomål/A 15582-2024 FSC-klagomål.docx", "A 15582-2024")</f>
        <v/>
      </c>
      <c r="W19">
        <f>HYPERLINK("https://klasma.github.io/Logging_1263/klagomålsmail/A 15582-2024 FSC-klagomål mail.docx", "A 15582-2024")</f>
        <v/>
      </c>
      <c r="X19">
        <f>HYPERLINK("https://klasma.github.io/Logging_1263/tillsyn/A 15582-2024 tillsynsbegäran.docx", "A 15582-2024")</f>
        <v/>
      </c>
      <c r="Y19">
        <f>HYPERLINK("https://klasma.github.io/Logging_1263/tillsynsmail/A 15582-2024 tillsynsbegäran mail.docx", "A 15582-2024")</f>
        <v/>
      </c>
      <c r="Z19">
        <f>HYPERLINK("https://klasma.github.io/Logging_1263/fåglar/A 15582-2024 prioriterade fågelarter.docx", "A 15582-2024")</f>
        <v/>
      </c>
    </row>
    <row r="20" ht="15" customHeight="1">
      <c r="A20" t="inlineStr">
        <is>
          <t>A 25054-2026</t>
        </is>
      </c>
      <c r="B20" s="1" t="n">
        <v>46174</v>
      </c>
      <c r="C20" s="1" t="n">
        <v>46191</v>
      </c>
      <c r="D20" t="inlineStr">
        <is>
          <t>SKÅNE LÄN</t>
        </is>
      </c>
      <c r="E20" t="inlineStr">
        <is>
          <t>SVEDALA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Fransig jordstjärna</t>
        </is>
      </c>
      <c r="S20">
        <f>HYPERLINK("https://klasma.github.io/Logging_1263/artfynd/A 25054-2026 artfynd.xlsx", "A 25054-2026")</f>
        <v/>
      </c>
      <c r="T20">
        <f>HYPERLINK("https://klasma.github.io/Logging_1263/kartor/A 25054-2026 karta.png", "A 25054-2026")</f>
        <v/>
      </c>
      <c r="V20">
        <f>HYPERLINK("https://klasma.github.io/Logging_1263/klagomål/A 25054-2026 FSC-klagomål.docx", "A 25054-2026")</f>
        <v/>
      </c>
      <c r="W20">
        <f>HYPERLINK("https://klasma.github.io/Logging_1263/klagomålsmail/A 25054-2026 FSC-klagomål mail.docx", "A 25054-2026")</f>
        <v/>
      </c>
      <c r="X20">
        <f>HYPERLINK("https://klasma.github.io/Logging_1263/tillsyn/A 25054-2026 tillsynsbegäran.docx", "A 25054-2026")</f>
        <v/>
      </c>
      <c r="Y20">
        <f>HYPERLINK("https://klasma.github.io/Logging_1263/tillsynsmail/A 25054-2026 tillsynsbegäran mail.docx", "A 25054-2026")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46191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15571-2024</t>
        </is>
      </c>
      <c r="B22" s="1" t="n">
        <v>45401</v>
      </c>
      <c r="C22" s="1" t="n">
        <v>46191</v>
      </c>
      <c r="D22" t="inlineStr">
        <is>
          <t>SKÅNE LÄN</t>
        </is>
      </c>
      <c r="E22" t="inlineStr">
        <is>
          <t>SVEDALA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skogssnigel</t>
        </is>
      </c>
      <c r="S22">
        <f>HYPERLINK("https://klasma.github.io/Logging_1263/artfynd/A 15571-2024 artfynd.xlsx", "A 15571-2024")</f>
        <v/>
      </c>
      <c r="T22">
        <f>HYPERLINK("https://klasma.github.io/Logging_1263/kartor/A 15571-2024 karta.png", "A 15571-2024")</f>
        <v/>
      </c>
      <c r="V22">
        <f>HYPERLINK("https://klasma.github.io/Logging_1263/klagomål/A 15571-2024 FSC-klagomål.docx", "A 15571-2024")</f>
        <v/>
      </c>
      <c r="W22">
        <f>HYPERLINK("https://klasma.github.io/Logging_1263/klagomålsmail/A 15571-2024 FSC-klagomål mail.docx", "A 15571-2024")</f>
        <v/>
      </c>
      <c r="X22">
        <f>HYPERLINK("https://klasma.github.io/Logging_1263/tillsyn/A 15571-2024 tillsynsbegäran.docx", "A 15571-2024")</f>
        <v/>
      </c>
      <c r="Y22">
        <f>HYPERLINK("https://klasma.github.io/Logging_1263/tillsynsmail/A 15571-2024 tillsynsbegäran mail.docx", "A 15571-2024")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46191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46191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19268-2024</t>
        </is>
      </c>
      <c r="B25" s="1" t="n">
        <v>45428</v>
      </c>
      <c r="C25" s="1" t="n">
        <v>46191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64049-2025</t>
        </is>
      </c>
      <c r="B26" s="1" t="n">
        <v>46021</v>
      </c>
      <c r="C26" s="1" t="n">
        <v>46191</v>
      </c>
      <c r="D26" t="inlineStr">
        <is>
          <t>SKÅNE LÄN</t>
        </is>
      </c>
      <c r="E26" t="inlineStr">
        <is>
          <t>SVEDALA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64051-2025</t>
        </is>
      </c>
      <c r="B27" s="1" t="n">
        <v>46021</v>
      </c>
      <c r="C27" s="1" t="n">
        <v>46191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64055-2025</t>
        </is>
      </c>
      <c r="B28" s="1" t="n">
        <v>46021</v>
      </c>
      <c r="C28" s="1" t="n">
        <v>46191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64058-2025</t>
        </is>
      </c>
      <c r="B29" s="1" t="n">
        <v>46021</v>
      </c>
      <c r="C29" s="1" t="n">
        <v>46191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46191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46191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56202-2023</t>
        </is>
      </c>
      <c r="B32" s="1" t="n">
        <v>45240</v>
      </c>
      <c r="C32" s="1" t="n">
        <v>46191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31701-2023</t>
        </is>
      </c>
      <c r="B33" s="1" t="n">
        <v>45117</v>
      </c>
      <c r="C33" s="1" t="n">
        <v>46191</v>
      </c>
      <c r="D33" t="inlineStr">
        <is>
          <t>SKÅNE LÄN</t>
        </is>
      </c>
      <c r="E33" t="inlineStr">
        <is>
          <t>SVEDALA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</v>
      </c>
      <c r="C34" s="1" t="n">
        <v>46191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</v>
      </c>
      <c r="C35" s="1" t="n">
        <v>46191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46191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46191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15277-2024</t>
        </is>
      </c>
      <c r="B38" s="1" t="n">
        <v>45400</v>
      </c>
      <c r="C38" s="1" t="n">
        <v>46191</v>
      </c>
      <c r="D38" t="inlineStr">
        <is>
          <t>SKÅNE LÄN</t>
        </is>
      </c>
      <c r="E38" t="inlineStr">
        <is>
          <t>SVEDALA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46191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27113-2022</t>
        </is>
      </c>
      <c r="B40" s="1" t="n">
        <v>44741</v>
      </c>
      <c r="C40" s="1" t="n">
        <v>46191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64060-2025</t>
        </is>
      </c>
      <c r="B41" s="1" t="n">
        <v>46021</v>
      </c>
      <c r="C41" s="1" t="n">
        <v>46191</v>
      </c>
      <c r="D41" t="inlineStr">
        <is>
          <t>SKÅNE LÄN</t>
        </is>
      </c>
      <c r="E41" t="inlineStr">
        <is>
          <t>SVEDALA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46191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67456-2021</t>
        </is>
      </c>
      <c r="B43" s="1" t="n">
        <v>44524</v>
      </c>
      <c r="C43" s="1" t="n">
        <v>46191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25275-2026</t>
        </is>
      </c>
      <c r="B44" s="1" t="n">
        <v>46176</v>
      </c>
      <c r="C44" s="1" t="n">
        <v>46191</v>
      </c>
      <c r="D44" t="inlineStr">
        <is>
          <t>SKÅNE LÄN</t>
        </is>
      </c>
      <c r="E44" t="inlineStr">
        <is>
          <t>SVEDALA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</v>
      </c>
      <c r="C45" s="1" t="n">
        <v>46191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2408-2025</t>
        </is>
      </c>
      <c r="B46" s="1" t="n">
        <v>45674</v>
      </c>
      <c r="C46" s="1" t="n">
        <v>46191</v>
      </c>
      <c r="D46" t="inlineStr">
        <is>
          <t>SKÅNE LÄN</t>
        </is>
      </c>
      <c r="E46" t="inlineStr">
        <is>
          <t>SVEDALA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2415-2025</t>
        </is>
      </c>
      <c r="B47" s="1" t="n">
        <v>45674</v>
      </c>
      <c r="C47" s="1" t="n">
        <v>46191</v>
      </c>
      <c r="D47" t="inlineStr">
        <is>
          <t>SKÅNE LÄN</t>
        </is>
      </c>
      <c r="E47" t="inlineStr">
        <is>
          <t>SVEDALA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16690-2023</t>
        </is>
      </c>
      <c r="B48" s="1" t="n">
        <v>45030</v>
      </c>
      <c r="C48" s="1" t="n">
        <v>46191</v>
      </c>
      <c r="D48" t="inlineStr">
        <is>
          <t>SKÅNE LÄN</t>
        </is>
      </c>
      <c r="E48" t="inlineStr">
        <is>
          <t>SVEDALA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26080-2026</t>
        </is>
      </c>
      <c r="B49" s="1" t="n">
        <v>46181</v>
      </c>
      <c r="C49" s="1" t="n">
        <v>46191</v>
      </c>
      <c r="D49" t="inlineStr">
        <is>
          <t>SKÅNE LÄN</t>
        </is>
      </c>
      <c r="E49" t="inlineStr">
        <is>
          <t>SVEDALA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26073-2026</t>
        </is>
      </c>
      <c r="B50" s="1" t="n">
        <v>46181</v>
      </c>
      <c r="C50" s="1" t="n">
        <v>46191</v>
      </c>
      <c r="D50" t="inlineStr">
        <is>
          <t>SKÅNE LÄN</t>
        </is>
      </c>
      <c r="E50" t="inlineStr">
        <is>
          <t>SVEDALA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59432-2022</t>
        </is>
      </c>
      <c r="B51" s="1" t="n">
        <v>44907</v>
      </c>
      <c r="C51" s="1" t="n">
        <v>46191</v>
      </c>
      <c r="D51" t="inlineStr">
        <is>
          <t>SKÅNE LÄN</t>
        </is>
      </c>
      <c r="E51" t="inlineStr">
        <is>
          <t>SVEDALA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57798-2022</t>
        </is>
      </c>
      <c r="B52" s="1" t="n">
        <v>44897</v>
      </c>
      <c r="C52" s="1" t="n">
        <v>46191</v>
      </c>
      <c r="D52" t="inlineStr">
        <is>
          <t>SKÅNE LÄN</t>
        </is>
      </c>
      <c r="E52" t="inlineStr">
        <is>
          <t>SVEDALA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57803-2022</t>
        </is>
      </c>
      <c r="B53" s="1" t="n">
        <v>44897</v>
      </c>
      <c r="C53" s="1" t="n">
        <v>46191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15577-2024</t>
        </is>
      </c>
      <c r="B54" s="1" t="n">
        <v>45401</v>
      </c>
      <c r="C54" s="1" t="n">
        <v>46191</v>
      </c>
      <c r="D54" t="inlineStr">
        <is>
          <t>SKÅNE LÄN</t>
        </is>
      </c>
      <c r="E54" t="inlineStr">
        <is>
          <t>SVEDALA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18888-2024</t>
        </is>
      </c>
      <c r="B55" s="1" t="n">
        <v>45427</v>
      </c>
      <c r="C55" s="1" t="n">
        <v>46191</v>
      </c>
      <c r="D55" t="inlineStr">
        <is>
          <t>SKÅNE LÄN</t>
        </is>
      </c>
      <c r="E55" t="inlineStr">
        <is>
          <t>SVEDALA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19190-2023</t>
        </is>
      </c>
      <c r="B56" s="1" t="n">
        <v>45048</v>
      </c>
      <c r="C56" s="1" t="n">
        <v>46191</v>
      </c>
      <c r="D56" t="inlineStr">
        <is>
          <t>SKÅNE LÄN</t>
        </is>
      </c>
      <c r="E56" t="inlineStr">
        <is>
          <t>SVEDALA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16199-2024</t>
        </is>
      </c>
      <c r="B57" s="1" t="n">
        <v>45406</v>
      </c>
      <c r="C57" s="1" t="n">
        <v>46191</v>
      </c>
      <c r="D57" t="inlineStr">
        <is>
          <t>SKÅNE LÄN</t>
        </is>
      </c>
      <c r="E57" t="inlineStr">
        <is>
          <t>SVEDALA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29817-2025</t>
        </is>
      </c>
      <c r="B58" s="1" t="n">
        <v>45825</v>
      </c>
      <c r="C58" s="1" t="n">
        <v>46191</v>
      </c>
      <c r="D58" t="inlineStr">
        <is>
          <t>SKÅNE LÄN</t>
        </is>
      </c>
      <c r="E58" t="inlineStr">
        <is>
          <t>SVEDALA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54580-2023</t>
        </is>
      </c>
      <c r="B59" s="1" t="n">
        <v>45233</v>
      </c>
      <c r="C59" s="1" t="n">
        <v>46191</v>
      </c>
      <c r="D59" t="inlineStr">
        <is>
          <t>SKÅNE LÄN</t>
        </is>
      </c>
      <c r="E59" t="inlineStr">
        <is>
          <t>SVEDALA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12953-2025</t>
        </is>
      </c>
      <c r="B60" s="1" t="n">
        <v>45734</v>
      </c>
      <c r="C60" s="1" t="n">
        <v>46191</v>
      </c>
      <c r="D60" t="inlineStr">
        <is>
          <t>SKÅNE LÄN</t>
        </is>
      </c>
      <c r="E60" t="inlineStr">
        <is>
          <t>SVEDALA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2026-06-18T13:16:22Z</dcterms:created>
  <dcterms:modified xmlns:dcterms="http://purl.org/dc/terms/" xmlns:xsi="http://www.w3.org/2001/XMLSchema-instance" xsi:type="dcterms:W3CDTF">2026-06-18T13:16:22Z</dcterms:modified>
</cp:coreProperties>
</file>