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25062-2026</t>
        </is>
      </c>
      <c r="B2" s="1" t="n">
        <v>46174</v>
      </c>
      <c r="C2" s="1" t="n">
        <v>46188</v>
      </c>
      <c r="D2" t="inlineStr">
        <is>
          <t>SKÅNE LÄN</t>
        </is>
      </c>
      <c r="E2" t="inlineStr">
        <is>
          <t>SVEDALA</t>
        </is>
      </c>
      <c r="G2" t="n">
        <v>3.3</v>
      </c>
      <c r="H2" t="n">
        <v>2</v>
      </c>
      <c r="I2" t="n">
        <v>9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13</v>
      </c>
      <c r="R2" s="2" t="inlineStr">
        <is>
          <t>Ask
Lundäxing
Skogsveronika
Hässleklocka
Lundvårlök
Myskmadra
Rutbläcksvamp
Skogsknipprot
Stor häxört
Sårläka
Tibast
Vårärt
Sankt pers nycklar</t>
        </is>
      </c>
      <c r="S2">
        <f>HYPERLINK("https://klasma.github.io/Logging_1263/artfynd/A 25062-2026 artfynd.xlsx", "A 25062-2026")</f>
        <v/>
      </c>
      <c r="T2">
        <f>HYPERLINK("https://klasma.github.io/Logging_1263/kartor/A 25062-2026 karta.png", "A 25062-2026")</f>
        <v/>
      </c>
      <c r="V2">
        <f>HYPERLINK("https://klasma.github.io/Logging_1263/klagomål/A 25062-2026 FSC-klagomål.docx", "A 25062-2026")</f>
        <v/>
      </c>
      <c r="W2">
        <f>HYPERLINK("https://klasma.github.io/Logging_1263/klagomålsmail/A 25062-2026 FSC-klagomål mail.docx", "A 25062-2026")</f>
        <v/>
      </c>
      <c r="X2">
        <f>HYPERLINK("https://klasma.github.io/Logging_1263/tillsyn/A 25062-2026 tillsynsbegäran.docx", "A 25062-2026")</f>
        <v/>
      </c>
      <c r="Y2">
        <f>HYPERLINK("https://klasma.github.io/Logging_1263/tillsynsmail/A 25062-2026 tillsynsbegäran mail.docx", "A 25062-2026")</f>
        <v/>
      </c>
    </row>
    <row r="3" ht="15" customHeight="1">
      <c r="A3" t="inlineStr">
        <is>
          <t>A 14150-2023</t>
        </is>
      </c>
      <c r="B3" s="1" t="n">
        <v>45009</v>
      </c>
      <c r="C3" s="1" t="n">
        <v>46188</v>
      </c>
      <c r="D3" t="inlineStr">
        <is>
          <t>SKÅNE LÄN</t>
        </is>
      </c>
      <c r="E3" t="inlineStr">
        <is>
          <t>SVEDALA</t>
        </is>
      </c>
      <c r="G3" t="n">
        <v>2.5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Hypoxylon petriniae
Guldlockmossa
Lönnlav
Platt fjädermossa
Tibast</t>
        </is>
      </c>
      <c r="S3">
        <f>HYPERLINK("https://klasma.github.io/Logging_1263/artfynd/A 14150-2023 artfynd.xlsx", "A 14150-2023")</f>
        <v/>
      </c>
      <c r="T3">
        <f>HYPERLINK("https://klasma.github.io/Logging_1263/kartor/A 14150-2023 karta.png", "A 14150-2023")</f>
        <v/>
      </c>
      <c r="V3">
        <f>HYPERLINK("https://klasma.github.io/Logging_1263/klagomål/A 14150-2023 FSC-klagomål.docx", "A 14150-2023")</f>
        <v/>
      </c>
      <c r="W3">
        <f>HYPERLINK("https://klasma.github.io/Logging_1263/klagomålsmail/A 14150-2023 FSC-klagomål mail.docx", "A 14150-2023")</f>
        <v/>
      </c>
      <c r="X3">
        <f>HYPERLINK("https://klasma.github.io/Logging_1263/tillsyn/A 14150-2023 tillsynsbegäran.docx", "A 14150-2023")</f>
        <v/>
      </c>
      <c r="Y3">
        <f>HYPERLINK("https://klasma.github.io/Logging_1263/tillsynsmail/A 14150-2023 tillsynsbegäran mail.docx", "A 14150-2023")</f>
        <v/>
      </c>
    </row>
    <row r="4" ht="15" customHeight="1">
      <c r="A4" t="inlineStr">
        <is>
          <t>A 27244-2024</t>
        </is>
      </c>
      <c r="B4" s="1" t="n">
        <v>45471.66394675926</v>
      </c>
      <c r="C4" s="1" t="n">
        <v>46188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29032-2023</t>
        </is>
      </c>
      <c r="B5" s="1" t="n">
        <v>45104</v>
      </c>
      <c r="C5" s="1" t="n">
        <v>46188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Grönsångare
Åkergroda
Vanlig groda</t>
        </is>
      </c>
      <c r="S5">
        <f>HYPERLINK("https://klasma.github.io/Logging_1263/artfynd/A 29032-2023 artfynd.xlsx", "A 29032-2023")</f>
        <v/>
      </c>
      <c r="T5">
        <f>HYPERLINK("https://klasma.github.io/Logging_1263/kartor/A 29032-2023 karta.png", "A 29032-2023")</f>
        <v/>
      </c>
      <c r="V5">
        <f>HYPERLINK("https://klasma.github.io/Logging_1263/klagomål/A 29032-2023 FSC-klagomål.docx", "A 29032-2023")</f>
        <v/>
      </c>
      <c r="W5">
        <f>HYPERLINK("https://klasma.github.io/Logging_1263/klagomålsmail/A 29032-2023 FSC-klagomål mail.docx", "A 29032-2023")</f>
        <v/>
      </c>
      <c r="X5">
        <f>HYPERLINK("https://klasma.github.io/Logging_1263/tillsyn/A 29032-2023 tillsynsbegäran.docx", "A 29032-2023")</f>
        <v/>
      </c>
      <c r="Y5">
        <f>HYPERLINK("https://klasma.github.io/Logging_1263/tillsynsmail/A 29032-2023 tillsynsbegäran mail.docx", "A 29032-2023")</f>
        <v/>
      </c>
      <c r="Z5">
        <f>HYPERLINK("https://klasma.github.io/Logging_1263/fåglar/A 29032-2023 prioriterade fågelarter.docx", "A 29032-2023")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46188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46188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46188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26073-2026</t>
        </is>
      </c>
      <c r="B9" s="1" t="n">
        <v>46181</v>
      </c>
      <c r="C9" s="1" t="n">
        <v>46188</v>
      </c>
      <c r="D9" t="inlineStr">
        <is>
          <t>SKÅNE LÄN</t>
        </is>
      </c>
      <c r="E9" t="inlineStr">
        <is>
          <t>SVEDALA</t>
        </is>
      </c>
      <c r="G9" t="n">
        <v>7.3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Skräntärna
Ängsnycklar</t>
        </is>
      </c>
      <c r="S9">
        <f>HYPERLINK("https://klasma.github.io/Logging_1263/artfynd/A 26073-2026 artfynd.xlsx", "A 26073-2026")</f>
        <v/>
      </c>
      <c r="T9">
        <f>HYPERLINK("https://klasma.github.io/Logging_1263/kartor/A 26073-2026 karta.png", "A 26073-2026")</f>
        <v/>
      </c>
      <c r="V9">
        <f>HYPERLINK("https://klasma.github.io/Logging_1263/klagomål/A 26073-2026 FSC-klagomål.docx", "A 26073-2026")</f>
        <v/>
      </c>
      <c r="W9">
        <f>HYPERLINK("https://klasma.github.io/Logging_1263/klagomålsmail/A 26073-2026 FSC-klagomål mail.docx", "A 26073-2026")</f>
        <v/>
      </c>
      <c r="X9">
        <f>HYPERLINK("https://klasma.github.io/Logging_1263/tillsyn/A 26073-2026 tillsynsbegäran.docx", "A 26073-2026")</f>
        <v/>
      </c>
      <c r="Y9">
        <f>HYPERLINK("https://klasma.github.io/Logging_1263/tillsynsmail/A 26073-2026 tillsynsbegäran mail.docx", "A 26073-2026")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46188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18464-2022</t>
        </is>
      </c>
      <c r="B11" s="1" t="n">
        <v>44686</v>
      </c>
      <c r="C11" s="1" t="n">
        <v>46188</v>
      </c>
      <c r="D11" t="inlineStr">
        <is>
          <t>SKÅNE LÄN</t>
        </is>
      </c>
      <c r="E11" t="inlineStr">
        <is>
          <t>SVEDALA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HYPERLINK("https://klasma.github.io/Logging_1263/artfynd/A 18464-2022 artfynd.xlsx", "A 18464-2022")</f>
        <v/>
      </c>
      <c r="T11">
        <f>HYPERLINK("https://klasma.github.io/Logging_1263/kartor/A 18464-2022 karta.png", "A 18464-2022")</f>
        <v/>
      </c>
      <c r="V11">
        <f>HYPERLINK("https://klasma.github.io/Logging_1263/klagomål/A 18464-2022 FSC-klagomål.docx", "A 18464-2022")</f>
        <v/>
      </c>
      <c r="W11">
        <f>HYPERLINK("https://klasma.github.io/Logging_1263/klagomålsmail/A 18464-2022 FSC-klagomål mail.docx", "A 18464-2022")</f>
        <v/>
      </c>
      <c r="X11">
        <f>HYPERLINK("https://klasma.github.io/Logging_1263/tillsyn/A 18464-2022 tillsynsbegäran.docx", "A 18464-2022")</f>
        <v/>
      </c>
      <c r="Y11">
        <f>HYPERLINK("https://klasma.github.io/Logging_1263/tillsynsmail/A 18464-2022 tillsynsbegäran mail.docx", "A 18464-2022")</f>
        <v/>
      </c>
    </row>
    <row r="12" ht="15" customHeight="1">
      <c r="A12" t="inlineStr">
        <is>
          <t>A 58350-2025</t>
        </is>
      </c>
      <c r="B12" s="1" t="n">
        <v>45985.51048611111</v>
      </c>
      <c r="C12" s="1" t="n">
        <v>46188</v>
      </c>
      <c r="D12" t="inlineStr">
        <is>
          <t>SKÅNE LÄN</t>
        </is>
      </c>
      <c r="E12" t="inlineStr">
        <is>
          <t>SVEDALA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HYPERLINK("https://klasma.github.io/Logging_1263/artfynd/A 58350-2025 artfynd.xlsx", "A 58350-2025")</f>
        <v/>
      </c>
      <c r="T12">
        <f>HYPERLINK("https://klasma.github.io/Logging_1263/kartor/A 58350-2025 karta.png", "A 58350-2025")</f>
        <v/>
      </c>
      <c r="V12">
        <f>HYPERLINK("https://klasma.github.io/Logging_1263/klagomål/A 58350-2025 FSC-klagomål.docx", "A 58350-2025")</f>
        <v/>
      </c>
      <c r="W12">
        <f>HYPERLINK("https://klasma.github.io/Logging_1263/klagomålsmail/A 58350-2025 FSC-klagomål mail.docx", "A 58350-2025")</f>
        <v/>
      </c>
      <c r="X12">
        <f>HYPERLINK("https://klasma.github.io/Logging_1263/tillsyn/A 58350-2025 tillsynsbegäran.docx", "A 58350-2025")</f>
        <v/>
      </c>
      <c r="Y12">
        <f>HYPERLINK("https://klasma.github.io/Logging_1263/tillsynsmail/A 58350-2025 tillsynsbegäran mail.docx", "A 58350-2025")</f>
        <v/>
      </c>
    </row>
    <row r="13" ht="15" customHeight="1">
      <c r="A13" t="inlineStr">
        <is>
          <t>A 16684-2023</t>
        </is>
      </c>
      <c r="B13" s="1" t="n">
        <v>45030</v>
      </c>
      <c r="C13" s="1" t="n">
        <v>46188</v>
      </c>
      <c r="D13" t="inlineStr">
        <is>
          <t>SKÅNE LÄN</t>
        </is>
      </c>
      <c r="E13" t="inlineStr">
        <is>
          <t>SVEDALA</t>
        </is>
      </c>
      <c r="G13" t="n">
        <v>6.1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Större grynsnäcka</t>
        </is>
      </c>
      <c r="S13">
        <f>HYPERLINK("https://klasma.github.io/Logging_1263/artfynd/A 16684-2023 artfynd.xlsx", "A 16684-2023")</f>
        <v/>
      </c>
      <c r="T13">
        <f>HYPERLINK("https://klasma.github.io/Logging_1263/kartor/A 16684-2023 karta.png", "A 16684-2023")</f>
        <v/>
      </c>
      <c r="V13">
        <f>HYPERLINK("https://klasma.github.io/Logging_1263/klagomål/A 16684-2023 FSC-klagomål.docx", "A 16684-2023")</f>
        <v/>
      </c>
      <c r="W13">
        <f>HYPERLINK("https://klasma.github.io/Logging_1263/klagomålsmail/A 16684-2023 FSC-klagomål mail.docx", "A 16684-2023")</f>
        <v/>
      </c>
      <c r="X13">
        <f>HYPERLINK("https://klasma.github.io/Logging_1263/tillsyn/A 16684-2023 tillsynsbegäran.docx", "A 16684-2023")</f>
        <v/>
      </c>
      <c r="Y13">
        <f>HYPERLINK("https://klasma.github.io/Logging_1263/tillsynsmail/A 16684-2023 tillsynsbegäran mail.docx", "A 16684-2023")</f>
        <v/>
      </c>
    </row>
    <row r="14" ht="15" customHeight="1">
      <c r="A14" t="inlineStr">
        <is>
          <t>A 2482-2025</t>
        </is>
      </c>
      <c r="B14" s="1" t="n">
        <v>45674</v>
      </c>
      <c r="C14" s="1" t="n">
        <v>46188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Korallticka</t>
        </is>
      </c>
      <c r="S14">
        <f>HYPERLINK("https://klasma.github.io/Logging_1263/artfynd/A 2482-2025 artfynd.xlsx", "A 2482-2025")</f>
        <v/>
      </c>
      <c r="T14">
        <f>HYPERLINK("https://klasma.github.io/Logging_1263/kartor/A 2482-2025 karta.png", "A 2482-2025")</f>
        <v/>
      </c>
      <c r="V14">
        <f>HYPERLINK("https://klasma.github.io/Logging_1263/klagomål/A 2482-2025 FSC-klagomål.docx", "A 2482-2025")</f>
        <v/>
      </c>
      <c r="W14">
        <f>HYPERLINK("https://klasma.github.io/Logging_1263/klagomålsmail/A 2482-2025 FSC-klagomål mail.docx", "A 2482-2025")</f>
        <v/>
      </c>
      <c r="X14">
        <f>HYPERLINK("https://klasma.github.io/Logging_1263/tillsyn/A 2482-2025 tillsynsbegäran.docx", "A 2482-2025")</f>
        <v/>
      </c>
      <c r="Y14">
        <f>HYPERLINK("https://klasma.github.io/Logging_1263/tillsynsmail/A 2482-2025 tillsynsbegäran mail.docx", "A 2482-2025")</f>
        <v/>
      </c>
    </row>
    <row r="15" ht="15" customHeight="1">
      <c r="A15" t="inlineStr">
        <is>
          <t>A 25054-2026</t>
        </is>
      </c>
      <c r="B15" s="1" t="n">
        <v>46174</v>
      </c>
      <c r="C15" s="1" t="n">
        <v>46188</v>
      </c>
      <c r="D15" t="inlineStr">
        <is>
          <t>SKÅNE LÄN</t>
        </is>
      </c>
      <c r="E15" t="inlineStr">
        <is>
          <t>SVEDALA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Fransig jordstjärna</t>
        </is>
      </c>
      <c r="S15">
        <f>HYPERLINK("https://klasma.github.io/Logging_1263/artfynd/A 25054-2026 artfynd.xlsx", "A 25054-2026")</f>
        <v/>
      </c>
      <c r="T15">
        <f>HYPERLINK("https://klasma.github.io/Logging_1263/kartor/A 25054-2026 karta.png", "A 25054-2026")</f>
        <v/>
      </c>
      <c r="V15">
        <f>HYPERLINK("https://klasma.github.io/Logging_1263/klagomål/A 25054-2026 FSC-klagomål.docx", "A 25054-2026")</f>
        <v/>
      </c>
      <c r="W15">
        <f>HYPERLINK("https://klasma.github.io/Logging_1263/klagomålsmail/A 25054-2026 FSC-klagomål mail.docx", "A 25054-2026")</f>
        <v/>
      </c>
      <c r="X15">
        <f>HYPERLINK("https://klasma.github.io/Logging_1263/tillsyn/A 25054-2026 tillsynsbegäran.docx", "A 25054-2026")</f>
        <v/>
      </c>
      <c r="Y15">
        <f>HYPERLINK("https://klasma.github.io/Logging_1263/tillsynsmail/A 25054-2026 tillsynsbegäran mail.docx", "A 25054-2026")</f>
        <v/>
      </c>
    </row>
    <row r="16" ht="15" customHeight="1">
      <c r="A16" t="inlineStr">
        <is>
          <t>A 25022-2026</t>
        </is>
      </c>
      <c r="B16" s="1" t="n">
        <v>46174</v>
      </c>
      <c r="C16" s="1" t="n">
        <v>46188</v>
      </c>
      <c r="D16" t="inlineStr">
        <is>
          <t>SKÅNE LÄN</t>
        </is>
      </c>
      <c r="E16" t="inlineStr">
        <is>
          <t>SVEDALA</t>
        </is>
      </c>
      <c r="G16" t="n">
        <v>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HYPERLINK("https://klasma.github.io/Logging_1263/artfynd/A 25022-2026 artfynd.xlsx", "A 25022-2026")</f>
        <v/>
      </c>
      <c r="T16">
        <f>HYPERLINK("https://klasma.github.io/Logging_1263/kartor/A 25022-2026 karta.png", "A 25022-2026")</f>
        <v/>
      </c>
      <c r="V16">
        <f>HYPERLINK("https://klasma.github.io/Logging_1263/klagomål/A 25022-2026 FSC-klagomål.docx", "A 25022-2026")</f>
        <v/>
      </c>
      <c r="W16">
        <f>HYPERLINK("https://klasma.github.io/Logging_1263/klagomålsmail/A 25022-2026 FSC-klagomål mail.docx", "A 25022-2026")</f>
        <v/>
      </c>
      <c r="X16">
        <f>HYPERLINK("https://klasma.github.io/Logging_1263/tillsyn/A 25022-2026 tillsynsbegäran.docx", "A 25022-2026")</f>
        <v/>
      </c>
      <c r="Y16">
        <f>HYPERLINK("https://klasma.github.io/Logging_1263/tillsynsmail/A 25022-2026 tillsynsbegäran mail.docx", "A 25022-2026")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46188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27107-2022</t>
        </is>
      </c>
      <c r="B18" s="1" t="n">
        <v>44741</v>
      </c>
      <c r="C18" s="1" t="n">
        <v>46188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27112-2022</t>
        </is>
      </c>
      <c r="B19" s="1" t="n">
        <v>44741</v>
      </c>
      <c r="C19" s="1" t="n">
        <v>46188</v>
      </c>
      <c r="D19" t="inlineStr">
        <is>
          <t>SKÅNE LÄN</t>
        </is>
      </c>
      <c r="E19" t="inlineStr">
        <is>
          <t>SVEDALA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21072-2022</t>
        </is>
      </c>
      <c r="B20" s="1" t="n">
        <v>44704</v>
      </c>
      <c r="C20" s="1" t="n">
        <v>46188</v>
      </c>
      <c r="D20" t="inlineStr">
        <is>
          <t>SKÅNE LÄN</t>
        </is>
      </c>
      <c r="E20" t="inlineStr">
        <is>
          <t>SVEDALA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2408-2025</t>
        </is>
      </c>
      <c r="B21" s="1" t="n">
        <v>45674.36113425926</v>
      </c>
      <c r="C21" s="1" t="n">
        <v>46188</v>
      </c>
      <c r="D21" t="inlineStr">
        <is>
          <t>SKÅNE LÄN</t>
        </is>
      </c>
      <c r="E21" t="inlineStr">
        <is>
          <t>SVEDALA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2415-2025</t>
        </is>
      </c>
      <c r="B22" s="1" t="n">
        <v>45674.379375</v>
      </c>
      <c r="C22" s="1" t="n">
        <v>46188</v>
      </c>
      <c r="D22" t="inlineStr">
        <is>
          <t>SKÅNE LÄN</t>
        </is>
      </c>
      <c r="E22" t="inlineStr">
        <is>
          <t>SVEDALA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16690-2023</t>
        </is>
      </c>
      <c r="B23" s="1" t="n">
        <v>45030</v>
      </c>
      <c r="C23" s="1" t="n">
        <v>46188</v>
      </c>
      <c r="D23" t="inlineStr">
        <is>
          <t>SKÅNE LÄN</t>
        </is>
      </c>
      <c r="E23" t="inlineStr">
        <is>
          <t>SVEDALA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51318-2025</t>
        </is>
      </c>
      <c r="B24" s="1" t="n">
        <v>45950.38170138889</v>
      </c>
      <c r="C24" s="1" t="n">
        <v>46188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29030-2023</t>
        </is>
      </c>
      <c r="B25" s="1" t="n">
        <v>45104</v>
      </c>
      <c r="C25" s="1" t="n">
        <v>46188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18888-2024</t>
        </is>
      </c>
      <c r="B26" s="1" t="n">
        <v>45427</v>
      </c>
      <c r="C26" s="1" t="n">
        <v>46188</v>
      </c>
      <c r="D26" t="inlineStr">
        <is>
          <t>SKÅNE LÄN</t>
        </is>
      </c>
      <c r="E26" t="inlineStr">
        <is>
          <t>SVEDALA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31701-2023</t>
        </is>
      </c>
      <c r="B27" s="1" t="n">
        <v>45117</v>
      </c>
      <c r="C27" s="1" t="n">
        <v>46188</v>
      </c>
      <c r="D27" t="inlineStr">
        <is>
          <t>SKÅNE LÄN</t>
        </is>
      </c>
      <c r="E27" t="inlineStr">
        <is>
          <t>SVEDALA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56202-2023</t>
        </is>
      </c>
      <c r="B28" s="1" t="n">
        <v>45240</v>
      </c>
      <c r="C28" s="1" t="n">
        <v>46188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64060-2025</t>
        </is>
      </c>
      <c r="B29" s="1" t="n">
        <v>46021.6172337963</v>
      </c>
      <c r="C29" s="1" t="n">
        <v>46188</v>
      </c>
      <c r="D29" t="inlineStr">
        <is>
          <t>SKÅNE LÄN</t>
        </is>
      </c>
      <c r="E29" t="inlineStr">
        <is>
          <t>SVEDALA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46188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25603-2024</t>
        </is>
      </c>
      <c r="B31" s="1" t="n">
        <v>45463</v>
      </c>
      <c r="C31" s="1" t="n">
        <v>46188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64055-2025</t>
        </is>
      </c>
      <c r="B32" s="1" t="n">
        <v>46021</v>
      </c>
      <c r="C32" s="1" t="n">
        <v>46188</v>
      </c>
      <c r="D32" t="inlineStr">
        <is>
          <t>SKÅNE LÄN</t>
        </is>
      </c>
      <c r="E32" t="inlineStr">
        <is>
          <t>SVEDALA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64058-2025</t>
        </is>
      </c>
      <c r="B33" s="1" t="n">
        <v>46021</v>
      </c>
      <c r="C33" s="1" t="n">
        <v>46188</v>
      </c>
      <c r="D33" t="inlineStr">
        <is>
          <t>SKÅNE LÄN</t>
        </is>
      </c>
      <c r="E33" t="inlineStr">
        <is>
          <t>SVEDALA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64051-2025</t>
        </is>
      </c>
      <c r="B34" s="1" t="n">
        <v>46021</v>
      </c>
      <c r="C34" s="1" t="n">
        <v>46188</v>
      </c>
      <c r="D34" t="inlineStr">
        <is>
          <t>SKÅNE LÄN</t>
        </is>
      </c>
      <c r="E34" t="inlineStr">
        <is>
          <t>SVEDALA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64049-2025</t>
        </is>
      </c>
      <c r="B35" s="1" t="n">
        <v>46021</v>
      </c>
      <c r="C35" s="1" t="n">
        <v>46188</v>
      </c>
      <c r="D35" t="inlineStr">
        <is>
          <t>SKÅNE LÄN</t>
        </is>
      </c>
      <c r="E35" t="inlineStr">
        <is>
          <t>SVEDALA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29817-2025</t>
        </is>
      </c>
      <c r="B36" s="1" t="n">
        <v>45825</v>
      </c>
      <c r="C36" s="1" t="n">
        <v>46188</v>
      </c>
      <c r="D36" t="inlineStr">
        <is>
          <t>SKÅNE LÄN</t>
        </is>
      </c>
      <c r="E36" t="inlineStr">
        <is>
          <t>SVEDALA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46188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46188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54282-2023</t>
        </is>
      </c>
      <c r="B39" s="1" t="n">
        <v>45232.69699074074</v>
      </c>
      <c r="C39" s="1" t="n">
        <v>46188</v>
      </c>
      <c r="D39" t="inlineStr">
        <is>
          <t>SKÅNE LÄN</t>
        </is>
      </c>
      <c r="E39" t="inlineStr">
        <is>
          <t>SVEDALA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9570-2026</t>
        </is>
      </c>
      <c r="B40" s="1" t="n">
        <v>46070</v>
      </c>
      <c r="C40" s="1" t="n">
        <v>46188</v>
      </c>
      <c r="D40" t="inlineStr">
        <is>
          <t>SKÅNE LÄN</t>
        </is>
      </c>
      <c r="E40" t="inlineStr">
        <is>
          <t>SVEDALA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12953-2025</t>
        </is>
      </c>
      <c r="B41" s="1" t="n">
        <v>45734</v>
      </c>
      <c r="C41" s="1" t="n">
        <v>46188</v>
      </c>
      <c r="D41" t="inlineStr">
        <is>
          <t>SKÅNE LÄN</t>
        </is>
      </c>
      <c r="E41" t="inlineStr">
        <is>
          <t>SVEDALA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54580-2023</t>
        </is>
      </c>
      <c r="B42" s="1" t="n">
        <v>45233</v>
      </c>
      <c r="C42" s="1" t="n">
        <v>46188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54280-2023</t>
        </is>
      </c>
      <c r="B43" s="1" t="n">
        <v>45232.69518518518</v>
      </c>
      <c r="C43" s="1" t="n">
        <v>46188</v>
      </c>
      <c r="D43" t="inlineStr">
        <is>
          <t>SKÅNE LÄN</t>
        </is>
      </c>
      <c r="E43" t="inlineStr">
        <is>
          <t>SVEDALA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25049-2026</t>
        </is>
      </c>
      <c r="B44" s="1" t="n">
        <v>46174</v>
      </c>
      <c r="C44" s="1" t="n">
        <v>46188</v>
      </c>
      <c r="D44" t="inlineStr">
        <is>
          <t>SKÅNE LÄN</t>
        </is>
      </c>
      <c r="E44" t="inlineStr">
        <is>
          <t>SVEDALA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15277-2024</t>
        </is>
      </c>
      <c r="B45" s="1" t="n">
        <v>45400</v>
      </c>
      <c r="C45" s="1" t="n">
        <v>46188</v>
      </c>
      <c r="D45" t="inlineStr">
        <is>
          <t>SKÅNE LÄN</t>
        </is>
      </c>
      <c r="E45" t="inlineStr">
        <is>
          <t>SVEDALA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25275-2026</t>
        </is>
      </c>
      <c r="B46" s="1" t="n">
        <v>46176</v>
      </c>
      <c r="C46" s="1" t="n">
        <v>46188</v>
      </c>
      <c r="D46" t="inlineStr">
        <is>
          <t>SKÅNE LÄN</t>
        </is>
      </c>
      <c r="E46" t="inlineStr">
        <is>
          <t>SVEDALA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31393-2021</t>
        </is>
      </c>
      <c r="B47" s="1" t="n">
        <v>44368</v>
      </c>
      <c r="C47" s="1" t="n">
        <v>46188</v>
      </c>
      <c r="D47" t="inlineStr">
        <is>
          <t>SKÅNE LÄN</t>
        </is>
      </c>
      <c r="E47" t="inlineStr">
        <is>
          <t>SVEDALA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26080-2026</t>
        </is>
      </c>
      <c r="B48" s="1" t="n">
        <v>46181</v>
      </c>
      <c r="C48" s="1" t="n">
        <v>46188</v>
      </c>
      <c r="D48" t="inlineStr">
        <is>
          <t>SKÅNE LÄN</t>
        </is>
      </c>
      <c r="E48" t="inlineStr">
        <is>
          <t>SVEDALA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46188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46188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15577-2024</t>
        </is>
      </c>
      <c r="B51" s="1" t="n">
        <v>45401.68829861111</v>
      </c>
      <c r="C51" s="1" t="n">
        <v>46188</v>
      </c>
      <c r="D51" t="inlineStr">
        <is>
          <t>SKÅNE LÄN</t>
        </is>
      </c>
      <c r="E51" t="inlineStr">
        <is>
          <t>SVEDALA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19268-2024</t>
        </is>
      </c>
      <c r="B52" s="1" t="n">
        <v>45428.63112268518</v>
      </c>
      <c r="C52" s="1" t="n">
        <v>46188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27113-2022</t>
        </is>
      </c>
      <c r="B53" s="1" t="n">
        <v>44741</v>
      </c>
      <c r="C53" s="1" t="n">
        <v>46188</v>
      </c>
      <c r="D53" t="inlineStr">
        <is>
          <t>SKÅNE LÄN</t>
        </is>
      </c>
      <c r="E53" t="inlineStr">
        <is>
          <t>SVEDALA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16199-2024</t>
        </is>
      </c>
      <c r="B54" s="1" t="n">
        <v>45406</v>
      </c>
      <c r="C54" s="1" t="n">
        <v>46188</v>
      </c>
      <c r="D54" t="inlineStr">
        <is>
          <t>SKÅNE LÄN</t>
        </is>
      </c>
      <c r="E54" t="inlineStr">
        <is>
          <t>SVEDALA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15565-2024</t>
        </is>
      </c>
      <c r="B55" s="1" t="n">
        <v>45401.66103009259</v>
      </c>
      <c r="C55" s="1" t="n">
        <v>46188</v>
      </c>
      <c r="D55" t="inlineStr">
        <is>
          <t>SKÅNE LÄN</t>
        </is>
      </c>
      <c r="E55" t="inlineStr">
        <is>
          <t>SVEDALA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13344-2023</t>
        </is>
      </c>
      <c r="B56" s="1" t="n">
        <v>45005</v>
      </c>
      <c r="C56" s="1" t="n">
        <v>46188</v>
      </c>
      <c r="D56" t="inlineStr">
        <is>
          <t>SKÅNE LÄN</t>
        </is>
      </c>
      <c r="E56" t="inlineStr">
        <is>
          <t>SVEDALA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19190-2023</t>
        </is>
      </c>
      <c r="B57" s="1" t="n">
        <v>45048</v>
      </c>
      <c r="C57" s="1" t="n">
        <v>46188</v>
      </c>
      <c r="D57" t="inlineStr">
        <is>
          <t>SKÅNE LÄN</t>
        </is>
      </c>
      <c r="E57" t="inlineStr">
        <is>
          <t>SVEDALA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54284-2023</t>
        </is>
      </c>
      <c r="B58" s="1" t="n">
        <v>45232</v>
      </c>
      <c r="C58" s="1" t="n">
        <v>46188</v>
      </c>
      <c r="D58" t="inlineStr">
        <is>
          <t>SKÅNE LÄN</t>
        </is>
      </c>
      <c r="E58" t="inlineStr">
        <is>
          <t>SVEDALA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67456-2021</t>
        </is>
      </c>
      <c r="B59" s="1" t="n">
        <v>44524</v>
      </c>
      <c r="C59" s="1" t="n">
        <v>46188</v>
      </c>
      <c r="D59" t="inlineStr">
        <is>
          <t>SKÅNE LÄN</t>
        </is>
      </c>
      <c r="E59" t="inlineStr">
        <is>
          <t>SVEDALA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15582-2024</t>
        </is>
      </c>
      <c r="B60" s="1" t="n">
        <v>45401.69502314815</v>
      </c>
      <c r="C60" s="1" t="n">
        <v>46188</v>
      </c>
      <c r="D60" t="inlineStr">
        <is>
          <t>SKÅNE LÄN</t>
        </is>
      </c>
      <c r="E60" t="inlineStr">
        <is>
          <t>SVEDALA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2026-06-15T09:28:46Z</dcterms:created>
  <dcterms:modified xmlns:dcterms="http://purl.org/dc/terms/" xmlns:xsi="http://www.w3.org/2001/XMLSchema-instance" xsi:type="dcterms:W3CDTF">2026-06-15T09:28:46Z</dcterms:modified>
</cp:coreProperties>
</file>