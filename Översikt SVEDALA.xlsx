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46126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46126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46126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46126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46126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46126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46126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46126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58350-2025</t>
        </is>
      </c>
      <c r="B10" s="1" t="n">
        <v>45985.51048611111</v>
      </c>
      <c r="C10" s="1" t="n">
        <v>46126</v>
      </c>
      <c r="D10" t="inlineStr">
        <is>
          <t>SKÅNE LÄN</t>
        </is>
      </c>
      <c r="E10" t="inlineStr">
        <is>
          <t>SVEDALA</t>
        </is>
      </c>
      <c r="G10" t="n">
        <v>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HYPERLINK("https://klasma.github.io/Logging_1263/artfynd/A 58350-2025 artfynd.xlsx", "A 58350-2025")</f>
        <v/>
      </c>
      <c r="T10">
        <f>HYPERLINK("https://klasma.github.io/Logging_1263/kartor/A 58350-2025 karta.png", "A 58350-2025")</f>
        <v/>
      </c>
      <c r="V10">
        <f>HYPERLINK("https://klasma.github.io/Logging_1263/klagomål/A 58350-2025 FSC-klagomål.docx", "A 58350-2025")</f>
        <v/>
      </c>
      <c r="W10">
        <f>HYPERLINK("https://klasma.github.io/Logging_1263/klagomålsmail/A 58350-2025 FSC-klagomål mail.docx", "A 58350-2025")</f>
        <v/>
      </c>
      <c r="X10">
        <f>HYPERLINK("https://klasma.github.io/Logging_1263/tillsyn/A 58350-2025 tillsynsbegäran.docx", "A 58350-2025")</f>
        <v/>
      </c>
      <c r="Y10">
        <f>HYPERLINK("https://klasma.github.io/Logging_1263/tillsynsmail/A 58350-2025 tillsynsbegäran mail.docx", "A 58350-2025")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46126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46126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46126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46126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46126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46126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46126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46126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46126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46126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9277-2025</t>
        </is>
      </c>
      <c r="B21" s="1" t="n">
        <v>45714.63053240741</v>
      </c>
      <c r="C21" s="1" t="n">
        <v>46126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46126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31693-2023</t>
        </is>
      </c>
      <c r="B23" s="1" t="n">
        <v>45117</v>
      </c>
      <c r="C23" s="1" t="n">
        <v>46126</v>
      </c>
      <c r="D23" t="inlineStr">
        <is>
          <t>SKÅNE LÄN</t>
        </is>
      </c>
      <c r="E23" t="inlineStr">
        <is>
          <t>SVEDALA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13344-2023</t>
        </is>
      </c>
      <c r="B24" s="1" t="n">
        <v>45005</v>
      </c>
      <c r="C24" s="1" t="n">
        <v>46126</v>
      </c>
      <c r="D24" t="inlineStr">
        <is>
          <t>SKÅNE LÄN</t>
        </is>
      </c>
      <c r="E24" t="inlineStr">
        <is>
          <t>SVEDALA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46126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45674.36113425926</v>
      </c>
      <c r="C26" s="1" t="n">
        <v>46126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45674.379375</v>
      </c>
      <c r="C27" s="1" t="n">
        <v>46126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46126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18888-2024</t>
        </is>
      </c>
      <c r="B29" s="1" t="n">
        <v>45427</v>
      </c>
      <c r="C29" s="1" t="n">
        <v>46126</v>
      </c>
      <c r="D29" t="inlineStr">
        <is>
          <t>SKÅNE LÄN</t>
        </is>
      </c>
      <c r="E29" t="inlineStr">
        <is>
          <t>SVEDALA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46126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46126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46126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15577-2024</t>
        </is>
      </c>
      <c r="B33" s="1" t="n">
        <v>45401.68829861111</v>
      </c>
      <c r="C33" s="1" t="n">
        <v>46126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51318-2025</t>
        </is>
      </c>
      <c r="B34" s="1" t="n">
        <v>45950.38170138889</v>
      </c>
      <c r="C34" s="1" t="n">
        <v>46126</v>
      </c>
      <c r="D34" t="inlineStr">
        <is>
          <t>SKÅNE LÄN</t>
        </is>
      </c>
      <c r="E34" t="inlineStr">
        <is>
          <t>SVEDALA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19190-2023</t>
        </is>
      </c>
      <c r="B35" s="1" t="n">
        <v>45048</v>
      </c>
      <c r="C35" s="1" t="n">
        <v>46126</v>
      </c>
      <c r="D35" t="inlineStr">
        <is>
          <t>SKÅNE LÄN</t>
        </is>
      </c>
      <c r="E35" t="inlineStr">
        <is>
          <t>SVEDALA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29817-2025</t>
        </is>
      </c>
      <c r="B36" s="1" t="n">
        <v>45825</v>
      </c>
      <c r="C36" s="1" t="n">
        <v>46126</v>
      </c>
      <c r="D36" t="inlineStr">
        <is>
          <t>SKÅNE LÄN</t>
        </is>
      </c>
      <c r="E36" t="inlineStr">
        <is>
          <t>SVEDALA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46126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46126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12953-2025</t>
        </is>
      </c>
      <c r="B39" s="1" t="n">
        <v>45734</v>
      </c>
      <c r="C39" s="1" t="n">
        <v>46126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64060-2025</t>
        </is>
      </c>
      <c r="B40" s="1" t="n">
        <v>46021.6172337963</v>
      </c>
      <c r="C40" s="1" t="n">
        <v>46126</v>
      </c>
      <c r="D40" t="inlineStr">
        <is>
          <t>SKÅNE LÄN</t>
        </is>
      </c>
      <c r="E40" t="inlineStr">
        <is>
          <t>SVEDALA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9570-2026</t>
        </is>
      </c>
      <c r="B41" s="1" t="n">
        <v>46070</v>
      </c>
      <c r="C41" s="1" t="n">
        <v>46126</v>
      </c>
      <c r="D41" t="inlineStr">
        <is>
          <t>SKÅNE LÄN</t>
        </is>
      </c>
      <c r="E41" t="inlineStr">
        <is>
          <t>SVEDALA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19268-2024</t>
        </is>
      </c>
      <c r="B42" s="1" t="n">
        <v>45428.63112268518</v>
      </c>
      <c r="C42" s="1" t="n">
        <v>46126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64049-2025</t>
        </is>
      </c>
      <c r="B43" s="1" t="n">
        <v>46021</v>
      </c>
      <c r="C43" s="1" t="n">
        <v>46126</v>
      </c>
      <c r="D43" t="inlineStr">
        <is>
          <t>SKÅNE LÄN</t>
        </is>
      </c>
      <c r="E43" t="inlineStr">
        <is>
          <t>SVEDALA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64051-2025</t>
        </is>
      </c>
      <c r="B44" s="1" t="n">
        <v>46021</v>
      </c>
      <c r="C44" s="1" t="n">
        <v>46126</v>
      </c>
      <c r="D44" t="inlineStr">
        <is>
          <t>SKÅNE LÄN</t>
        </is>
      </c>
      <c r="E44" t="inlineStr">
        <is>
          <t>SVEDALA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64055-2025</t>
        </is>
      </c>
      <c r="B45" s="1" t="n">
        <v>46021</v>
      </c>
      <c r="C45" s="1" t="n">
        <v>46126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64058-2025</t>
        </is>
      </c>
      <c r="B46" s="1" t="n">
        <v>46021</v>
      </c>
      <c r="C46" s="1" t="n">
        <v>46126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54284-2023</t>
        </is>
      </c>
      <c r="B47" s="1" t="n">
        <v>45232</v>
      </c>
      <c r="C47" s="1" t="n">
        <v>46126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56202-2023</t>
        </is>
      </c>
      <c r="B48" s="1" t="n">
        <v>45240</v>
      </c>
      <c r="C48" s="1" t="n">
        <v>46126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46126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45232.69518518518</v>
      </c>
      <c r="C50" s="1" t="n">
        <v>46126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15277-2024</t>
        </is>
      </c>
      <c r="B51" s="1" t="n">
        <v>45400</v>
      </c>
      <c r="C51" s="1" t="n">
        <v>46126</v>
      </c>
      <c r="D51" t="inlineStr">
        <is>
          <t>SKÅNE LÄN</t>
        </is>
      </c>
      <c r="E51" t="inlineStr">
        <is>
          <t>SVEDALA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27113-2022</t>
        </is>
      </c>
      <c r="B52" s="1" t="n">
        <v>44741</v>
      </c>
      <c r="C52" s="1" t="n">
        <v>46126</v>
      </c>
      <c r="D52" t="inlineStr">
        <is>
          <t>SKÅNE LÄN</t>
        </is>
      </c>
      <c r="E52" t="inlineStr">
        <is>
          <t>SVEDALA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29030-2023</t>
        </is>
      </c>
      <c r="B53" s="1" t="n">
        <v>45104</v>
      </c>
      <c r="C53" s="1" t="n">
        <v>46126</v>
      </c>
      <c r="D53" t="inlineStr">
        <is>
          <t>SKÅNE LÄN</t>
        </is>
      </c>
      <c r="E53" t="inlineStr">
        <is>
          <t>SVEDALA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54282-2023</t>
        </is>
      </c>
      <c r="B54" s="1" t="n">
        <v>45232.69699074074</v>
      </c>
      <c r="C54" s="1" t="n">
        <v>46126</v>
      </c>
      <c r="D54" t="inlineStr">
        <is>
          <t>SKÅNE LÄN</t>
        </is>
      </c>
      <c r="E54" t="inlineStr">
        <is>
          <t>SVEDALA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2026-04-14T10:32:38Z</dcterms:created>
  <dcterms:modified xmlns:dcterms="http://purl.org/dc/terms/" xmlns:xsi="http://www.w3.org/2001/XMLSchema-instance" xsi:type="dcterms:W3CDTF">2026-04-14T10:32:38Z</dcterms:modified>
</cp:coreProperties>
</file>