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46218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V2">
        <f>HYPERLINK("https://klasma.github.io/Logging_1263/artfynd/S 628-2025 artfynd.xlsx", "S 628-2025")</f>
        <v/>
      </c>
      <c r="W2">
        <f>HYPERLINK("https://klasma.github.io/Logging_1263/kartor/S 628-2025 karta.png", "S 628-2025")</f>
        <v/>
      </c>
      <c r="Y2">
        <f>HYPERLINK("https://klasma.github.io/Logging_1263/klagomål/S 628-2025 FSC-klagomål.docx", "S 628-2025")</f>
        <v/>
      </c>
      <c r="Z2">
        <f>HYPERLINK("https://klasma.github.io/Logging_1263/klagomålsmail/S 628-2025 FSC-klagomål mail.docx", "S 628-2025")</f>
        <v/>
      </c>
      <c r="AA2">
        <f>HYPERLINK("https://klasma.github.io/Logging_1263/tillsyn/S 628-2025 tillsynsbegäran.docx", "S 628-2025")</f>
        <v/>
      </c>
      <c r="AB2">
        <f>HYPERLINK("https://klasma.github.io/Logging_1263/tillsynsmail/S 628-2025 tillsynsbegäran mail.docx", "S 628-2025")</f>
        <v/>
      </c>
      <c r="AC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46218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s="2" t="inlineStr">
        <is>
          <t>Blå kärrhök
Grönfink
Entita
Grönsångare
Gulsparv
Mindre hackspett
Skogsknipprot
Spillkråka
Gröngöling
Kungsfågel
Röd glada
Skogsduva
Trana
Åkergroda
Vanlig groda</t>
        </is>
      </c>
      <c r="V3">
        <f>HYPERLINK("https://klasma.github.io/Logging_1263/artfynd/A 29032-2023 artfynd.xlsx", "A 29032-2023")</f>
        <v/>
      </c>
      <c r="W3">
        <f>HYPERLINK("https://klasma.github.io/Logging_1263/kartor/A 29032-2023 karta.png", "A 29032-2023")</f>
        <v/>
      </c>
      <c r="Y3">
        <f>HYPERLINK("https://klasma.github.io/Logging_1263/klagomål/A 29032-2023 FSC-klagomål.docx", "A 29032-2023")</f>
        <v/>
      </c>
      <c r="Z3">
        <f>HYPERLINK("https://klasma.github.io/Logging_1263/klagomålsmail/A 29032-2023 FSC-klagomål mail.docx", "A 29032-2023")</f>
        <v/>
      </c>
      <c r="AA3">
        <f>HYPERLINK("https://klasma.github.io/Logging_1263/tillsyn/A 29032-2023 tillsynsbegäran.docx", "A 29032-2023")</f>
        <v/>
      </c>
      <c r="AB3">
        <f>HYPERLINK("https://klasma.github.io/Logging_1263/tillsynsmail/A 29032-2023 tillsynsbegäran mail.docx", "A 29032-2023")</f>
        <v/>
      </c>
      <c r="AC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46218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s="2" t="inlineStr">
        <is>
          <t>Ask
Lundäxing
Gullpudra
Skogsveronika
Sårläka
Vårärt
Hässleklocka
Lundvårlök
Myskmadra
Rutbläcksvamp
Skogsknipprot
Stor häxört
Tibast
Sankt pers nycklar</t>
        </is>
      </c>
      <c r="V4">
        <f>HYPERLINK("https://klasma.github.io/Logging_1263/artfynd/A 25062-2026 artfynd.xlsx", "A 25062-2026")</f>
        <v/>
      </c>
      <c r="W4">
        <f>HYPERLINK("https://klasma.github.io/Logging_1263/kartor/A 25062-2026 karta.png", "A 25062-2026")</f>
        <v/>
      </c>
      <c r="Y4">
        <f>HYPERLINK("https://klasma.github.io/Logging_1263/klagomål/A 25062-2026 FSC-klagomål.docx", "A 25062-2026")</f>
        <v/>
      </c>
      <c r="Z4">
        <f>HYPERLINK("https://klasma.github.io/Logging_1263/klagomålsmail/A 25062-2026 FSC-klagomål mail.docx", "A 25062-2026")</f>
        <v/>
      </c>
      <c r="AA4">
        <f>HYPERLINK("https://klasma.github.io/Logging_1263/tillsyn/A 25062-2026 tillsynsbegäran.docx", "A 25062-2026")</f>
        <v/>
      </c>
      <c r="AB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46218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s="2" t="inlineStr">
        <is>
          <t>Bokvårtlav
Skugglosta
Nästrot
Scharlakansskål
Scharlakansvårskål agg.
Trädporella
Kungsfågel</t>
        </is>
      </c>
      <c r="V5">
        <f>HYPERLINK("https://klasma.github.io/Logging_1263/artfynd/A 28247-2025 artfynd.xlsx", "A 28247-2025")</f>
        <v/>
      </c>
      <c r="W5">
        <f>HYPERLINK("https://klasma.github.io/Logging_1263/kartor/A 28247-2025 karta.png", "A 28247-2025")</f>
        <v/>
      </c>
      <c r="Y5">
        <f>HYPERLINK("https://klasma.github.io/Logging_1263/klagomål/A 28247-2025 FSC-klagomål.docx", "A 28247-2025")</f>
        <v/>
      </c>
      <c r="Z5">
        <f>HYPERLINK("https://klasma.github.io/Logging_1263/klagomålsmail/A 28247-2025 FSC-klagomål mail.docx", "A 28247-2025")</f>
        <v/>
      </c>
      <c r="AA5">
        <f>HYPERLINK("https://klasma.github.io/Logging_1263/tillsyn/A 28247-2025 tillsynsbegäran.docx", "A 28247-2025")</f>
        <v/>
      </c>
      <c r="AB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46218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s="2" t="inlineStr">
        <is>
          <t>Desmeknopp
Kragjordstjärna
Scharlakansskål
Stor häxört
Svartvit flugsnappare</t>
        </is>
      </c>
      <c r="V6">
        <f>HYPERLINK("https://klasma.github.io/Logging_1263/artfynd/A 27244-2024 artfynd.xlsx", "A 27244-2024")</f>
        <v/>
      </c>
      <c r="W6">
        <f>HYPERLINK("https://klasma.github.io/Logging_1263/kartor/A 27244-2024 karta.png", "A 27244-2024")</f>
        <v/>
      </c>
      <c r="Y6">
        <f>HYPERLINK("https://klasma.github.io/Logging_1263/klagomål/A 27244-2024 FSC-klagomål.docx", "A 27244-2024")</f>
        <v/>
      </c>
      <c r="Z6">
        <f>HYPERLINK("https://klasma.github.io/Logging_1263/klagomålsmail/A 27244-2024 FSC-klagomål mail.docx", "A 27244-2024")</f>
        <v/>
      </c>
      <c r="AA6">
        <f>HYPERLINK("https://klasma.github.io/Logging_1263/tillsyn/A 27244-2024 tillsynsbegäran.docx", "A 27244-2024")</f>
        <v/>
      </c>
      <c r="AB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46218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s="2" t="inlineStr">
        <is>
          <t>Vit stork
Bivråk
Fiskgjuse
Havsörn
Trana</t>
        </is>
      </c>
      <c r="V7">
        <f>HYPERLINK("https://klasma.github.io/Logging_1263/artfynd/A 25049-2026 artfynd.xlsx", "A 25049-2026")</f>
        <v/>
      </c>
      <c r="W7">
        <f>HYPERLINK("https://klasma.github.io/Logging_1263/kartor/A 25049-2026 karta.png", "A 25049-2026")</f>
        <v/>
      </c>
      <c r="Y7">
        <f>HYPERLINK("https://klasma.github.io/Logging_1263/klagomål/A 25049-2026 FSC-klagomål.docx", "A 25049-2026")</f>
        <v/>
      </c>
      <c r="Z7">
        <f>HYPERLINK("https://klasma.github.io/Logging_1263/klagomålsmail/A 25049-2026 FSC-klagomål mail.docx", "A 25049-2026")</f>
        <v/>
      </c>
      <c r="AA7">
        <f>HYPERLINK("https://klasma.github.io/Logging_1263/tillsyn/A 25049-2026 tillsynsbegäran.docx", "A 25049-2026")</f>
        <v/>
      </c>
      <c r="AB7">
        <f>HYPERLINK("https://klasma.github.io/Logging_1263/tillsynsmail/A 25049-2026 tillsynsbegäran mail.docx", "A 25049-2026")</f>
        <v/>
      </c>
      <c r="AC7">
        <f>HYPERLINK("https://klasma.github.io/Logging_1263/fåglar/A 25049-2026 prioriterade fågelarter.docx", "A 25049-2026")</f>
        <v/>
      </c>
    </row>
    <row r="8" ht="15" customHeight="1">
      <c r="A8" t="inlineStr">
        <is>
          <t>A 31700-2023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45117</v>
      </c>
      <c r="E8" s="1" t="n">
        <v>46218</v>
      </c>
      <c r="F8" t="inlineStr">
        <is>
          <t>SKÅNE LÄN</t>
        </is>
      </c>
      <c r="G8" t="inlineStr">
        <is>
          <t>SVEDALA</t>
        </is>
      </c>
      <c r="I8" t="n">
        <v>1.1</v>
      </c>
      <c r="J8" t="n">
        <v>3</v>
      </c>
      <c r="K8" t="n">
        <v>0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7</v>
      </c>
      <c r="U8" s="2" t="inlineStr">
        <is>
          <t>Brun glada
Revig blodrot
Lövgroda
Större vattensalamander</t>
        </is>
      </c>
      <c r="V8">
        <f>HYPERLINK("https://klasma.github.io/Logging_1263/artfynd/A 31700-2023 artfynd.xlsx", "A 31700-2023")</f>
        <v/>
      </c>
      <c r="W8">
        <f>HYPERLINK("https://klasma.github.io/Logging_1263/kartor/A 31700-2023 karta.png", "A 31700-2023")</f>
        <v/>
      </c>
      <c r="Y8">
        <f>HYPERLINK("https://klasma.github.io/Logging_1263/klagomål/A 31700-2023 FSC-klagomål.docx", "A 31700-2023")</f>
        <v/>
      </c>
      <c r="Z8">
        <f>HYPERLINK("https://klasma.github.io/Logging_1263/klagomålsmail/A 31700-2023 FSC-klagomål mail.docx", "A 31700-2023")</f>
        <v/>
      </c>
      <c r="AA8">
        <f>HYPERLINK("https://klasma.github.io/Logging_1263/tillsyn/A 31700-2023 tillsynsbegäran.docx", "A 31700-2023")</f>
        <v/>
      </c>
      <c r="AB8">
        <f>HYPERLINK("https://klasma.github.io/Logging_1263/tillsynsmail/A 31700-2023 tillsynsbegäran mail.docx", "A 31700-2023")</f>
        <v/>
      </c>
      <c r="AC8">
        <f>HYPERLINK("https://klasma.github.io/Logging_1263/fåglar/A 31700-2023 prioriterade fågelarter.docx", "A 31700-2023")</f>
        <v/>
      </c>
    </row>
    <row r="9" ht="15" customHeight="1">
      <c r="A9" t="inlineStr">
        <is>
          <t>A 14150-2023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45009</v>
      </c>
      <c r="E9" s="1" t="n">
        <v>46218</v>
      </c>
      <c r="F9" t="inlineStr">
        <is>
          <t>SKÅNE LÄN</t>
        </is>
      </c>
      <c r="G9" t="inlineStr">
        <is>
          <t>SVEDALA</t>
        </is>
      </c>
      <c r="I9" t="n">
        <v>2.5</v>
      </c>
      <c r="J9" t="n">
        <v>0</v>
      </c>
      <c r="K9" t="n">
        <v>4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7</v>
      </c>
      <c r="U9" s="2" t="inlineStr">
        <is>
          <t>Guldlockmossa
Lönnlav
Platt fjädermossa
Tibast</t>
        </is>
      </c>
      <c r="V9">
        <f>HYPERLINK("https://klasma.github.io/Logging_1263/artfynd/A 14150-2023 artfynd.xlsx", "A 14150-2023")</f>
        <v/>
      </c>
      <c r="W9">
        <f>HYPERLINK("https://klasma.github.io/Logging_1263/kartor/A 14150-2023 karta.png", "A 14150-2023")</f>
        <v/>
      </c>
      <c r="Y9">
        <f>HYPERLINK("https://klasma.github.io/Logging_1263/klagomål/A 14150-2023 FSC-klagomål.docx", "A 14150-2023")</f>
        <v/>
      </c>
      <c r="Z9">
        <f>HYPERLINK("https://klasma.github.io/Logging_1263/klagomålsmail/A 14150-2023 FSC-klagomål mail.docx", "A 14150-2023")</f>
        <v/>
      </c>
      <c r="AA9">
        <f>HYPERLINK("https://klasma.github.io/Logging_1263/tillsyn/A 14150-2023 tillsynsbegäran.docx", "A 14150-2023")</f>
        <v/>
      </c>
      <c r="AB9">
        <f>HYPERLINK("https://klasma.github.io/Logging_1263/tillsynsmail/A 14150-2023 tillsynsbegäran mail.docx", "A 14150-2023")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46218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s="2" t="inlineStr">
        <is>
          <t>Oxtungssvamp
Myskmadra
Svartvit flugsnappare</t>
        </is>
      </c>
      <c r="V10">
        <f>HYPERLINK("https://klasma.github.io/Logging_1263/artfynd/A 16122-2024 artfynd.xlsx", "A 16122-2024")</f>
        <v/>
      </c>
      <c r="W10">
        <f>HYPERLINK("https://klasma.github.io/Logging_1263/kartor/A 16122-2024 karta.png", "A 16122-2024")</f>
        <v/>
      </c>
      <c r="Y10">
        <f>HYPERLINK("https://klasma.github.io/Logging_1263/klagomål/A 16122-2024 FSC-klagomål.docx", "A 16122-2024")</f>
        <v/>
      </c>
      <c r="Z10">
        <f>HYPERLINK("https://klasma.github.io/Logging_1263/klagomålsmail/A 16122-2024 FSC-klagomål mail.docx", "A 16122-2024")</f>
        <v/>
      </c>
      <c r="AA10">
        <f>HYPERLINK("https://klasma.github.io/Logging_1263/tillsyn/A 16122-2024 tillsynsbegäran.docx", "A 16122-2024")</f>
        <v/>
      </c>
      <c r="AB10">
        <f>HYPERLINK("https://klasma.github.io/Logging_1263/tillsynsmail/A 16122-2024 tillsynsbegäran mail.docx", "A 16122-2024")</f>
        <v/>
      </c>
    </row>
    <row r="11" ht="15" customHeight="1">
      <c r="A11" t="inlineStr">
        <is>
          <t>A 15565-2024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45401</v>
      </c>
      <c r="E11" s="1" t="n">
        <v>46218</v>
      </c>
      <c r="F11" t="inlineStr">
        <is>
          <t>SKÅNE LÄN</t>
        </is>
      </c>
      <c r="G11" t="inlineStr">
        <is>
          <t>SVEDALA</t>
        </is>
      </c>
      <c r="I11" t="n">
        <v>7</v>
      </c>
      <c r="J11" t="n">
        <v>0</v>
      </c>
      <c r="K11" t="n">
        <v>0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2</v>
      </c>
      <c r="T11" t="n">
        <v>4</v>
      </c>
      <c r="U11" s="2" t="inlineStr">
        <is>
          <t>Skogsalm
Igelkott</t>
        </is>
      </c>
      <c r="V11">
        <f>HYPERLINK("https://klasma.github.io/Logging_1263/artfynd/A 15565-2024 artfynd.xlsx", "A 15565-2024")</f>
        <v/>
      </c>
      <c r="W11">
        <f>HYPERLINK("https://klasma.github.io/Logging_1263/kartor/A 15565-2024 karta.png", "A 15565-2024")</f>
        <v/>
      </c>
      <c r="Y11">
        <f>HYPERLINK("https://klasma.github.io/Logging_1263/klagomål/A 15565-2024 FSC-klagomål.docx", "A 15565-2024")</f>
        <v/>
      </c>
      <c r="Z11">
        <f>HYPERLINK("https://klasma.github.io/Logging_1263/klagomålsmail/A 15565-2024 FSC-klagomål mail.docx", "A 15565-2024")</f>
        <v/>
      </c>
      <c r="AA11">
        <f>HYPERLINK("https://klasma.github.io/Logging_1263/tillsyn/A 15565-2024 tillsynsbegäran.docx", "A 15565-2024")</f>
        <v/>
      </c>
      <c r="AB11">
        <f>HYPERLINK("https://klasma.github.io/Logging_1263/tillsynsmail/A 15565-2024 tillsynsbegäran mail.docx", "A 15565-2024")</f>
        <v/>
      </c>
    </row>
    <row r="12" ht="15" customHeight="1">
      <c r="A12" t="inlineStr">
        <is>
          <t>A 58350-2025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45985</v>
      </c>
      <c r="E12" s="1" t="n">
        <v>46218</v>
      </c>
      <c r="F12" t="inlineStr">
        <is>
          <t>SKÅNE LÄN</t>
        </is>
      </c>
      <c r="G12" t="inlineStr">
        <is>
          <t>SVEDALA</t>
        </is>
      </c>
      <c r="I12" t="n">
        <v>6.9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s="2" t="inlineStr">
        <is>
          <t>Koralltaggsvamp
Stor revmossa</t>
        </is>
      </c>
      <c r="V12">
        <f>HYPERLINK("https://klasma.github.io/Logging_1263/artfynd/A 58350-2025 artfynd.xlsx", "A 58350-2025")</f>
        <v/>
      </c>
      <c r="W12">
        <f>HYPERLINK("https://klasma.github.io/Logging_1263/kartor/A 58350-2025 karta.png", "A 58350-2025")</f>
        <v/>
      </c>
      <c r="Y12">
        <f>HYPERLINK("https://klasma.github.io/Logging_1263/klagomål/A 58350-2025 FSC-klagomål.docx", "A 58350-2025")</f>
        <v/>
      </c>
      <c r="Z12">
        <f>HYPERLINK("https://klasma.github.io/Logging_1263/klagomålsmail/A 58350-2025 FSC-klagomål mail.docx", "A 58350-2025")</f>
        <v/>
      </c>
      <c r="AA12">
        <f>HYPERLINK("https://klasma.github.io/Logging_1263/tillsyn/A 58350-2025 tillsynsbegäran.docx", "A 58350-2025")</f>
        <v/>
      </c>
      <c r="AB12">
        <f>HYPERLINK("https://klasma.github.io/Logging_1263/tillsynsmail/A 58350-2025 tillsynsbegäran mail.docx", "A 58350-2025")</f>
        <v/>
      </c>
    </row>
    <row r="13" ht="15" customHeight="1">
      <c r="A13" t="inlineStr">
        <is>
          <t>A 2482-2025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45674</v>
      </c>
      <c r="E13" s="1" t="n">
        <v>46218</v>
      </c>
      <c r="F13" t="inlineStr">
        <is>
          <t>SKÅNE LÄN</t>
        </is>
      </c>
      <c r="G13" t="inlineStr">
        <is>
          <t>SVEDALA</t>
        </is>
      </c>
      <c r="I13" t="n">
        <v>0.5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s="2" t="inlineStr">
        <is>
          <t>Korallticka
Ekoxe</t>
        </is>
      </c>
      <c r="V13">
        <f>HYPERLINK("https://klasma.github.io/Logging_1263/artfynd/A 2482-2025 artfynd.xlsx", "A 2482-2025")</f>
        <v/>
      </c>
      <c r="W13">
        <f>HYPERLINK("https://klasma.github.io/Logging_1263/kartor/A 2482-2025 karta.png", "A 2482-2025")</f>
        <v/>
      </c>
      <c r="Y13">
        <f>HYPERLINK("https://klasma.github.io/Logging_1263/klagomål/A 2482-2025 FSC-klagomål.docx", "A 2482-2025")</f>
        <v/>
      </c>
      <c r="Z13">
        <f>HYPERLINK("https://klasma.github.io/Logging_1263/klagomålsmail/A 2482-2025 FSC-klagomål mail.docx", "A 2482-2025")</f>
        <v/>
      </c>
      <c r="AA13">
        <f>HYPERLINK("https://klasma.github.io/Logging_1263/tillsyn/A 2482-2025 tillsynsbegäran.docx", "A 2482-2025")</f>
        <v/>
      </c>
      <c r="AB13">
        <f>HYPERLINK("https://klasma.github.io/Logging_1263/tillsynsmail/A 2482-2025 tillsynsbegäran mail.docx", "A 2482-2025")</f>
        <v/>
      </c>
    </row>
    <row r="14" ht="15" customHeight="1">
      <c r="A14" t="inlineStr">
        <is>
          <t>A 31697-2023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45117</v>
      </c>
      <c r="E14" s="1" t="n">
        <v>46218</v>
      </c>
      <c r="F14" t="inlineStr">
        <is>
          <t>SKÅNE LÄN</t>
        </is>
      </c>
      <c r="G14" t="inlineStr">
        <is>
          <t>SVEDALA</t>
        </is>
      </c>
      <c r="I14" t="n">
        <v>2.2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Lövgroda
Större vattensalamander</t>
        </is>
      </c>
      <c r="V14">
        <f>HYPERLINK("https://klasma.github.io/Logging_1263/artfynd/A 31697-2023 artfynd.xlsx", "A 31697-2023")</f>
        <v/>
      </c>
      <c r="W14">
        <f>HYPERLINK("https://klasma.github.io/Logging_1263/kartor/A 31697-2023 karta.png", "A 31697-2023")</f>
        <v/>
      </c>
      <c r="Y14">
        <f>HYPERLINK("https://klasma.github.io/Logging_1263/klagomål/A 31697-2023 FSC-klagomål.docx", "A 31697-2023")</f>
        <v/>
      </c>
      <c r="Z14">
        <f>HYPERLINK("https://klasma.github.io/Logging_1263/klagomålsmail/A 31697-2023 FSC-klagomål mail.docx", "A 31697-2023")</f>
        <v/>
      </c>
      <c r="AA14">
        <f>HYPERLINK("https://klasma.github.io/Logging_1263/tillsyn/A 31697-2023 tillsynsbegäran.docx", "A 31697-2023")</f>
        <v/>
      </c>
      <c r="AB14">
        <f>HYPERLINK("https://klasma.github.io/Logging_1263/tillsynsmail/A 31697-2023 tillsynsbegäran mail.docx", "A 31697-2023")</f>
        <v/>
      </c>
    </row>
    <row r="15" ht="15" customHeight="1">
      <c r="A15" t="inlineStr">
        <is>
          <t>A 38011-2023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45160</v>
      </c>
      <c r="E15" s="1" t="n">
        <v>46218</v>
      </c>
      <c r="F15" t="inlineStr">
        <is>
          <t>SKÅNE LÄN</t>
        </is>
      </c>
      <c r="G15" t="inlineStr">
        <is>
          <t>SVEDALA</t>
        </is>
      </c>
      <c r="I15" t="n">
        <v>2.8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s="2" t="inlineStr">
        <is>
          <t>Lökgroda
Skogsknipprot</t>
        </is>
      </c>
      <c r="V15">
        <f>HYPERLINK("https://klasma.github.io/Logging_1263/artfynd/A 38011-2023 artfynd.xlsx", "A 38011-2023")</f>
        <v/>
      </c>
      <c r="W15">
        <f>HYPERLINK("https://klasma.github.io/Logging_1263/kartor/A 38011-2023 karta.png", "A 38011-2023")</f>
        <v/>
      </c>
      <c r="Y15">
        <f>HYPERLINK("https://klasma.github.io/Logging_1263/klagomål/A 38011-2023 FSC-klagomål.docx", "A 38011-2023")</f>
        <v/>
      </c>
      <c r="Z15">
        <f>HYPERLINK("https://klasma.github.io/Logging_1263/klagomålsmail/A 38011-2023 FSC-klagomål mail.docx", "A 38011-2023")</f>
        <v/>
      </c>
      <c r="AA15">
        <f>HYPERLINK("https://klasma.github.io/Logging_1263/tillsyn/A 38011-2023 tillsynsbegäran.docx", "A 38011-2023")</f>
        <v/>
      </c>
      <c r="AB15">
        <f>HYPERLINK("https://klasma.github.io/Logging_1263/tillsynsmail/A 38011-2023 tillsynsbegäran mail.docx", "A 38011-2023")</f>
        <v/>
      </c>
    </row>
    <row r="16" ht="15" customHeight="1">
      <c r="A16" t="inlineStr">
        <is>
          <t>A 9570-2026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46070</v>
      </c>
      <c r="E16" s="1" t="n">
        <v>46218</v>
      </c>
      <c r="F16" t="inlineStr">
        <is>
          <t>SKÅNE LÄN</t>
        </is>
      </c>
      <c r="G16" t="inlineStr">
        <is>
          <t>SVEDALA</t>
        </is>
      </c>
      <c r="I16" t="n">
        <v>6.6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Lövgroda
Större vattensalamander</t>
        </is>
      </c>
      <c r="V16">
        <f>HYPERLINK("https://klasma.github.io/Logging_1263/artfynd/A 9570-2026 artfynd.xlsx", "A 9570-2026")</f>
        <v/>
      </c>
      <c r="W16">
        <f>HYPERLINK("https://klasma.github.io/Logging_1263/kartor/A 9570-2026 karta.png", "A 9570-2026")</f>
        <v/>
      </c>
      <c r="Y16">
        <f>HYPERLINK("https://klasma.github.io/Logging_1263/klagomål/A 9570-2026 FSC-klagomål.docx", "A 9570-2026")</f>
        <v/>
      </c>
      <c r="Z16">
        <f>HYPERLINK("https://klasma.github.io/Logging_1263/klagomålsmail/A 9570-2026 FSC-klagomål mail.docx", "A 9570-2026")</f>
        <v/>
      </c>
      <c r="AA16">
        <f>HYPERLINK("https://klasma.github.io/Logging_1263/tillsyn/A 9570-2026 tillsynsbegäran.docx", "A 9570-2026")</f>
        <v/>
      </c>
      <c r="AB16">
        <f>HYPERLINK("https://klasma.github.io/Logging_1263/tillsynsmail/A 9570-2026 tillsynsbegäran mail.docx", "A 9570-2026")</f>
        <v/>
      </c>
    </row>
    <row r="17" ht="15" customHeight="1">
      <c r="A17" t="inlineStr">
        <is>
          <t>A 25022-2026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46218</v>
      </c>
      <c r="F17" t="inlineStr">
        <is>
          <t>SKÅNE LÄN</t>
        </is>
      </c>
      <c r="G17" t="inlineStr">
        <is>
          <t>SVEDALA</t>
        </is>
      </c>
      <c r="I17" t="n">
        <v>4.2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s="2" t="inlineStr">
        <is>
          <t>Mindre tåtelsmygare
Skogsknipprot</t>
        </is>
      </c>
      <c r="V17">
        <f>HYPERLINK("https://klasma.github.io/Logging_1263/artfynd/A 25022-2026 artfynd.xlsx", "A 25022-2026")</f>
        <v/>
      </c>
      <c r="W17">
        <f>HYPERLINK("https://klasma.github.io/Logging_1263/kartor/A 25022-2026 karta.png", "A 25022-2026")</f>
        <v/>
      </c>
      <c r="Y17">
        <f>HYPERLINK("https://klasma.github.io/Logging_1263/klagomål/A 25022-2026 FSC-klagomål.docx", "A 25022-2026")</f>
        <v/>
      </c>
      <c r="Z17">
        <f>HYPERLINK("https://klasma.github.io/Logging_1263/klagomålsmail/A 25022-2026 FSC-klagomål mail.docx", "A 25022-2026")</f>
        <v/>
      </c>
      <c r="AA17">
        <f>HYPERLINK("https://klasma.github.io/Logging_1263/tillsyn/A 25022-2026 tillsynsbegäran.docx", "A 25022-2026")</f>
        <v/>
      </c>
      <c r="AB17">
        <f>HYPERLINK("https://klasma.github.io/Logging_1263/tillsynsmail/A 25022-2026 tillsynsbegäran mail.docx", "A 25022-2026")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46218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s="2" t="inlineStr">
        <is>
          <t>Duvhök
Fiskgjuse</t>
        </is>
      </c>
      <c r="V18">
        <f>HYPERLINK("https://klasma.github.io/Logging_1263/artfynd/S 1998-2026 artfynd.xlsx", "S 1998-2026")</f>
        <v/>
      </c>
      <c r="W18">
        <f>HYPERLINK("https://klasma.github.io/Logging_1263/kartor/S 1998-2026 karta.png", "S 1998-2026")</f>
        <v/>
      </c>
      <c r="Y18">
        <f>HYPERLINK("https://klasma.github.io/Logging_1263/klagomål/S 1998-2026 FSC-klagomål.docx", "S 1998-2026")</f>
        <v/>
      </c>
      <c r="Z18">
        <f>HYPERLINK("https://klasma.github.io/Logging_1263/klagomålsmail/S 1998-2026 FSC-klagomål mail.docx", "S 1998-2026")</f>
        <v/>
      </c>
      <c r="AA18">
        <f>HYPERLINK("https://klasma.github.io/Logging_1263/tillsyn/S 1998-2026 tillsynsbegäran.docx", "S 1998-2026")</f>
        <v/>
      </c>
      <c r="AB18">
        <f>HYPERLINK("https://klasma.github.io/Logging_1263/tillsynsmail/S 1998-2026 tillsynsbegäran mail.docx", "S 1998-2026")</f>
        <v/>
      </c>
      <c r="AC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46218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s="2" t="inlineStr">
        <is>
          <t>Revig blodrot
Ekoxe</t>
        </is>
      </c>
      <c r="V19">
        <f>HYPERLINK("https://klasma.github.io/Logging_1263/artfynd/S 1999-2026 artfynd.xlsx", "S 1999-2026")</f>
        <v/>
      </c>
      <c r="W19">
        <f>HYPERLINK("https://klasma.github.io/Logging_1263/kartor/S 1999-2026 karta.png", "S 1999-2026")</f>
        <v/>
      </c>
      <c r="Y19">
        <f>HYPERLINK("https://klasma.github.io/Logging_1263/klagomål/S 1999-2026 FSC-klagomål.docx", "S 1999-2026")</f>
        <v/>
      </c>
      <c r="Z19">
        <f>HYPERLINK("https://klasma.github.io/Logging_1263/klagomålsmail/S 1999-2026 FSC-klagomål mail.docx", "S 1999-2026")</f>
        <v/>
      </c>
      <c r="AA19">
        <f>HYPERLINK("https://klasma.github.io/Logging_1263/tillsyn/S 1999-2026 tillsynsbegäran.docx", "S 1999-2026")</f>
        <v/>
      </c>
      <c r="AB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46218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Vanlig groda</t>
        </is>
      </c>
      <c r="V20">
        <f>HYPERLINK("https://klasma.github.io/Logging_1263/artfynd/A 18464-2022 artfynd.xlsx", "A 18464-2022")</f>
        <v/>
      </c>
      <c r="W20">
        <f>HYPERLINK("https://klasma.github.io/Logging_1263/kartor/A 18464-2022 karta.png", "A 18464-2022")</f>
        <v/>
      </c>
      <c r="Y20">
        <f>HYPERLINK("https://klasma.github.io/Logging_1263/klagomål/A 18464-2022 FSC-klagomål.docx", "A 18464-2022")</f>
        <v/>
      </c>
      <c r="Z20">
        <f>HYPERLINK("https://klasma.github.io/Logging_1263/klagomålsmail/A 18464-2022 FSC-klagomål mail.docx", "A 18464-2022")</f>
        <v/>
      </c>
      <c r="AA20">
        <f>HYPERLINK("https://klasma.github.io/Logging_1263/tillsyn/A 18464-2022 tillsynsbegäran.docx", "A 18464-2022")</f>
        <v/>
      </c>
      <c r="AB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46218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Kungsfågel</t>
        </is>
      </c>
      <c r="V21">
        <f>HYPERLINK("https://klasma.github.io/Logging_1263/artfynd/A 27107-2022 artfynd.xlsx", "A 27107-2022")</f>
        <v/>
      </c>
      <c r="W21">
        <f>HYPERLINK("https://klasma.github.io/Logging_1263/kartor/A 27107-2022 karta.png", "A 27107-2022")</f>
        <v/>
      </c>
      <c r="Y21">
        <f>HYPERLINK("https://klasma.github.io/Logging_1263/klagomål/A 27107-2022 FSC-klagomål.docx", "A 27107-2022")</f>
        <v/>
      </c>
      <c r="Z21">
        <f>HYPERLINK("https://klasma.github.io/Logging_1263/klagomålsmail/A 27107-2022 FSC-klagomål mail.docx", "A 27107-2022")</f>
        <v/>
      </c>
      <c r="AA21">
        <f>HYPERLINK("https://klasma.github.io/Logging_1263/tillsyn/A 27107-2022 tillsynsbegäran.docx", "A 27107-2022")</f>
        <v/>
      </c>
      <c r="AB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15571-2024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46218</v>
      </c>
      <c r="F22" t="inlineStr">
        <is>
          <t>SKÅNE LÄN</t>
        </is>
      </c>
      <c r="G22" t="inlineStr">
        <is>
          <t>SVEDALA</t>
        </is>
      </c>
      <c r="I22" t="n">
        <v>11.1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Svart skogssnigel</t>
        </is>
      </c>
      <c r="V22">
        <f>HYPERLINK("https://klasma.github.io/Logging_1263/artfynd/A 15571-2024 artfynd.xlsx", "A 15571-2024")</f>
        <v/>
      </c>
      <c r="W22">
        <f>HYPERLINK("https://klasma.github.io/Logging_1263/kartor/A 15571-2024 karta.png", "A 15571-2024")</f>
        <v/>
      </c>
      <c r="Y22">
        <f>HYPERLINK("https://klasma.github.io/Logging_1263/klagomål/A 15571-2024 FSC-klagomål.docx", "A 15571-2024")</f>
        <v/>
      </c>
      <c r="Z22">
        <f>HYPERLINK("https://klasma.github.io/Logging_1263/klagomålsmail/A 15571-2024 FSC-klagomål mail.docx", "A 15571-2024")</f>
        <v/>
      </c>
      <c r="AA22">
        <f>HYPERLINK("https://klasma.github.io/Logging_1263/tillsyn/A 15571-2024 tillsynsbegäran.docx", "A 15571-2024")</f>
        <v/>
      </c>
      <c r="AB22">
        <f>HYPERLINK("https://klasma.github.io/Logging_1263/tillsynsmail/A 15571-2024 tillsynsbegäran mail.docx", "A 15571-2024")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46218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s="2" t="inlineStr">
        <is>
          <t>Större grynsnäcka</t>
        </is>
      </c>
      <c r="V23">
        <f>HYPERLINK("https://klasma.github.io/Logging_1263/artfynd/A 16684-2023 artfynd.xlsx", "A 16684-2023")</f>
        <v/>
      </c>
      <c r="W23">
        <f>HYPERLINK("https://klasma.github.io/Logging_1263/kartor/A 16684-2023 karta.png", "A 16684-2023")</f>
        <v/>
      </c>
      <c r="Y23">
        <f>HYPERLINK("https://klasma.github.io/Logging_1263/klagomål/A 16684-2023 FSC-klagomål.docx", "A 16684-2023")</f>
        <v/>
      </c>
      <c r="Z23">
        <f>HYPERLINK("https://klasma.github.io/Logging_1263/klagomålsmail/A 16684-2023 FSC-klagomål mail.docx", "A 16684-2023")</f>
        <v/>
      </c>
      <c r="AA23">
        <f>HYPERLINK("https://klasma.github.io/Logging_1263/tillsyn/A 16684-2023 tillsynsbegäran.docx", "A 16684-2023")</f>
        <v/>
      </c>
      <c r="AB23">
        <f>HYPERLINK("https://klasma.github.io/Logging_1263/tillsynsmail/A 16684-2023 tillsynsbegäran mail.docx", "A 16684-2023")</f>
        <v/>
      </c>
    </row>
    <row r="24" ht="15" customHeight="1">
      <c r="A24" t="inlineStr">
        <is>
          <t>A 15582-2024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45401</v>
      </c>
      <c r="E24" s="1" t="n">
        <v>46218</v>
      </c>
      <c r="F24" t="inlineStr">
        <is>
          <t>SKÅNE LÄN</t>
        </is>
      </c>
      <c r="G24" t="inlineStr">
        <is>
          <t>SVEDALA</t>
        </is>
      </c>
      <c r="I24" t="n">
        <v>7.3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Trana</t>
        </is>
      </c>
      <c r="V24">
        <f>HYPERLINK("https://klasma.github.io/Logging_1263/artfynd/A 15582-2024 artfynd.xlsx", "A 15582-2024")</f>
        <v/>
      </c>
      <c r="W24">
        <f>HYPERLINK("https://klasma.github.io/Logging_1263/kartor/A 15582-2024 karta.png", "A 15582-2024")</f>
        <v/>
      </c>
      <c r="Y24">
        <f>HYPERLINK("https://klasma.github.io/Logging_1263/klagomål/A 15582-2024 FSC-klagomål.docx", "A 15582-2024")</f>
        <v/>
      </c>
      <c r="Z24">
        <f>HYPERLINK("https://klasma.github.io/Logging_1263/klagomålsmail/A 15582-2024 FSC-klagomål mail.docx", "A 15582-2024")</f>
        <v/>
      </c>
      <c r="AA24">
        <f>HYPERLINK("https://klasma.github.io/Logging_1263/tillsyn/A 15582-2024 tillsynsbegäran.docx", "A 15582-2024")</f>
        <v/>
      </c>
      <c r="AB24">
        <f>HYPERLINK("https://klasma.github.io/Logging_1263/tillsynsmail/A 15582-2024 tillsynsbegäran mail.docx", "A 15582-2024")</f>
        <v/>
      </c>
      <c r="AC24">
        <f>HYPERLINK("https://klasma.github.io/Logging_1263/fåglar/A 15582-2024 prioriterade fågelarter.docx", "A 15582-2024")</f>
        <v/>
      </c>
    </row>
    <row r="25" ht="15" customHeight="1">
      <c r="A25" t="inlineStr">
        <is>
          <t>A 25054-2026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46174</v>
      </c>
      <c r="E25" s="1" t="n">
        <v>46218</v>
      </c>
      <c r="F25" t="inlineStr">
        <is>
          <t>SKÅNE LÄN</t>
        </is>
      </c>
      <c r="G25" t="inlineStr">
        <is>
          <t>SVEDALA</t>
        </is>
      </c>
      <c r="I25" t="n">
        <v>3.8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Fransig jordstjärna</t>
        </is>
      </c>
      <c r="V25">
        <f>HYPERLINK("https://klasma.github.io/Logging_1263/artfynd/A 25054-2026 artfynd.xlsx", "A 25054-2026")</f>
        <v/>
      </c>
      <c r="W25">
        <f>HYPERLINK("https://klasma.github.io/Logging_1263/kartor/A 25054-2026 karta.png", "A 25054-2026")</f>
        <v/>
      </c>
      <c r="Y25">
        <f>HYPERLINK("https://klasma.github.io/Logging_1263/klagomål/A 25054-2026 FSC-klagomål.docx", "A 25054-2026")</f>
        <v/>
      </c>
      <c r="Z25">
        <f>HYPERLINK("https://klasma.github.io/Logging_1263/klagomålsmail/A 25054-2026 FSC-klagomål mail.docx", "A 25054-2026")</f>
        <v/>
      </c>
      <c r="AA25">
        <f>HYPERLINK("https://klasma.github.io/Logging_1263/tillsyn/A 25054-2026 tillsynsbegäran.docx", "A 25054-2026")</f>
        <v/>
      </c>
      <c r="AB25">
        <f>HYPERLINK("https://klasma.github.io/Logging_1263/tillsynsmail/A 25054-2026 tillsynsbegäran mail.docx", "A 25054-2026")</f>
        <v/>
      </c>
    </row>
    <row r="26" ht="15" customHeight="1">
      <c r="A26" t="inlineStr">
        <is>
          <t>S 1996-2026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46213</v>
      </c>
      <c r="E26" s="1" t="n">
        <v>46218</v>
      </c>
      <c r="F26" t="inlineStr">
        <is>
          <t>SKÅNE LÄN</t>
        </is>
      </c>
      <c r="G26" t="inlineStr">
        <is>
          <t>SVEDALA</t>
        </is>
      </c>
      <c r="I26" t="n">
        <v>6.3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s="2" t="inlineStr">
        <is>
          <t>Stare</t>
        </is>
      </c>
      <c r="V26">
        <f>HYPERLINK("https://klasma.github.io/Logging_1263/artfynd/S 1996-2026 artfynd.xlsx", "S 1996-2026")</f>
        <v/>
      </c>
      <c r="W26">
        <f>HYPERLINK("https://klasma.github.io/Logging_1263/kartor/S 1996-2026 karta.png", "S 1996-2026")</f>
        <v/>
      </c>
      <c r="Y26">
        <f>HYPERLINK("https://klasma.github.io/Logging_1263/klagomål/S 1996-2026 FSC-klagomål.docx", "S 1996-2026")</f>
        <v/>
      </c>
      <c r="Z26">
        <f>HYPERLINK("https://klasma.github.io/Logging_1263/klagomålsmail/S 1996-2026 FSC-klagomål mail.docx", "S 1996-2026")</f>
        <v/>
      </c>
      <c r="AA26">
        <f>HYPERLINK("https://klasma.github.io/Logging_1263/tillsyn/S 1996-2026 tillsynsbegäran.docx", "S 1996-2026")</f>
        <v/>
      </c>
      <c r="AB26">
        <f>HYPERLINK("https://klasma.github.io/Logging_1263/tillsynsmail/S 1996-2026 tillsynsbegäran mail.docx", "S 1996-2026")</f>
        <v/>
      </c>
      <c r="AC26">
        <f>HYPERLINK("https://klasma.github.io/Logging_1263/fåglar/S 1996-2026 prioriterade fågelarter.docx", "S 1996-2026")</f>
        <v/>
      </c>
    </row>
    <row r="27" ht="15" customHeight="1">
      <c r="A27" t="inlineStr">
        <is>
          <t>A 21072-2022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44704</v>
      </c>
      <c r="E27" s="1" t="n">
        <v>46218</v>
      </c>
      <c r="F27" t="inlineStr">
        <is>
          <t>SKÅNE LÄN</t>
        </is>
      </c>
      <c r="G27" t="inlineStr">
        <is>
          <t>SVEDALA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19268-2024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45428</v>
      </c>
      <c r="E28" s="1" t="n">
        <v>46218</v>
      </c>
      <c r="F28" t="inlineStr">
        <is>
          <t>SKÅNE LÄN</t>
        </is>
      </c>
      <c r="G28" t="inlineStr">
        <is>
          <t>SVEDALA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27113-2022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44741</v>
      </c>
      <c r="E29" s="1" t="n">
        <v>46218</v>
      </c>
      <c r="F29" t="inlineStr">
        <is>
          <t>SKÅNE LÄN</t>
        </is>
      </c>
      <c r="G29" t="inlineStr">
        <is>
          <t>SVEDALA</t>
        </is>
      </c>
      <c r="I29" t="n">
        <v>8.9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16199-2024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45406</v>
      </c>
      <c r="E30" s="1" t="n">
        <v>46218</v>
      </c>
      <c r="F30" t="inlineStr">
        <is>
          <t>SKÅNE LÄN</t>
        </is>
      </c>
      <c r="G30" t="inlineStr">
        <is>
          <t>SVEDALA</t>
        </is>
      </c>
      <c r="I30" t="n">
        <v>13.5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13344-2023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45005</v>
      </c>
      <c r="E31" s="1" t="n">
        <v>46218</v>
      </c>
      <c r="F31" t="inlineStr">
        <is>
          <t>SKÅNE LÄN</t>
        </is>
      </c>
      <c r="G31" t="inlineStr">
        <is>
          <t>SVEDALA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29030-2023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45104</v>
      </c>
      <c r="E32" s="1" t="n">
        <v>46218</v>
      </c>
      <c r="F32" t="inlineStr">
        <is>
          <t>SKÅNE LÄN</t>
        </is>
      </c>
      <c r="G32" t="inlineStr">
        <is>
          <t>SVEDALA</t>
        </is>
      </c>
      <c r="I32" t="n">
        <v>8.1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19190-2023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45048</v>
      </c>
      <c r="E33" s="1" t="n">
        <v>46218</v>
      </c>
      <c r="F33" t="inlineStr">
        <is>
          <t>SKÅNE LÄN</t>
        </is>
      </c>
      <c r="G33" t="inlineStr">
        <is>
          <t>SVEDALA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57798-2022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44897</v>
      </c>
      <c r="E34" s="1" t="n">
        <v>46218</v>
      </c>
      <c r="F34" t="inlineStr">
        <is>
          <t>SKÅNE LÄN</t>
        </is>
      </c>
      <c r="G34" t="inlineStr">
        <is>
          <t>SVEDALA</t>
        </is>
      </c>
      <c r="I34" t="n">
        <v>8.9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57803-2022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44897</v>
      </c>
      <c r="E35" s="1" t="n">
        <v>46218</v>
      </c>
      <c r="F35" t="inlineStr">
        <is>
          <t>SKÅNE LÄN</t>
        </is>
      </c>
      <c r="G35" t="inlineStr">
        <is>
          <t>SVEDALA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31701-2023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45117</v>
      </c>
      <c r="E36" s="1" t="n">
        <v>46218</v>
      </c>
      <c r="F36" t="inlineStr">
        <is>
          <t>SKÅNE LÄN</t>
        </is>
      </c>
      <c r="G36" t="inlineStr">
        <is>
          <t>SVEDALA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54282-2023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45232</v>
      </c>
      <c r="E37" s="1" t="n">
        <v>46218</v>
      </c>
      <c r="F37" t="inlineStr">
        <is>
          <t>SKÅNE LÄN</t>
        </is>
      </c>
      <c r="G37" t="inlineStr">
        <is>
          <t>SVEDALA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54284-2023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45232</v>
      </c>
      <c r="E38" s="1" t="n">
        <v>46218</v>
      </c>
      <c r="F38" t="inlineStr">
        <is>
          <t>SKÅNE LÄN</t>
        </is>
      </c>
      <c r="G38" t="inlineStr">
        <is>
          <t>SVEDALA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67456-2021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44524</v>
      </c>
      <c r="E39" s="1" t="n">
        <v>46218</v>
      </c>
      <c r="F39" t="inlineStr">
        <is>
          <t>SKÅNE LÄN</t>
        </is>
      </c>
      <c r="G39" t="inlineStr">
        <is>
          <t>SVEDALA</t>
        </is>
      </c>
      <c r="I39" t="n">
        <v>8.1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56202-2023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45240</v>
      </c>
      <c r="E40" s="1" t="n">
        <v>46218</v>
      </c>
      <c r="F40" t="inlineStr">
        <is>
          <t>SKÅNE LÄN</t>
        </is>
      </c>
      <c r="G40" t="inlineStr">
        <is>
          <t>SVEDALA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16690-2023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45030</v>
      </c>
      <c r="E41" s="1" t="n">
        <v>46218</v>
      </c>
      <c r="F41" t="inlineStr">
        <is>
          <t>SKÅNE LÄN</t>
        </is>
      </c>
      <c r="G41" t="inlineStr">
        <is>
          <t>SVEDALA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18888-2024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45427</v>
      </c>
      <c r="E42" s="1" t="n">
        <v>46218</v>
      </c>
      <c r="F42" t="inlineStr">
        <is>
          <t>SKÅNE LÄN</t>
        </is>
      </c>
      <c r="G42" t="inlineStr">
        <is>
          <t>SVEDALA</t>
        </is>
      </c>
      <c r="I42" t="n">
        <v>3.5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54580-2023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45233</v>
      </c>
      <c r="E43" s="1" t="n">
        <v>46218</v>
      </c>
      <c r="F43" t="inlineStr">
        <is>
          <t>SKÅNE LÄN</t>
        </is>
      </c>
      <c r="G43" t="inlineStr">
        <is>
          <t>SVEDALA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54280-2023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45232</v>
      </c>
      <c r="E44" s="1" t="n">
        <v>46218</v>
      </c>
      <c r="F44" t="inlineStr">
        <is>
          <t>SKÅNE LÄN</t>
        </is>
      </c>
      <c r="G44" t="inlineStr">
        <is>
          <t>SVEDALA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59432-2022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44907</v>
      </c>
      <c r="E45" s="1" t="n">
        <v>46218</v>
      </c>
      <c r="F45" t="inlineStr">
        <is>
          <t>SKÅNE LÄN</t>
        </is>
      </c>
      <c r="G45" t="inlineStr">
        <is>
          <t>SVEDALA</t>
        </is>
      </c>
      <c r="I45" t="n">
        <v>5.1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25603-2024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45463</v>
      </c>
      <c r="E46" s="1" t="n">
        <v>46218</v>
      </c>
      <c r="F46" t="inlineStr">
        <is>
          <t>SKÅNE LÄN</t>
        </is>
      </c>
      <c r="G46" t="inlineStr">
        <is>
          <t>SVEDALA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15277-2024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45400</v>
      </c>
      <c r="E47" s="1" t="n">
        <v>46218</v>
      </c>
      <c r="F47" t="inlineStr">
        <is>
          <t>SKÅNE LÄN</t>
        </is>
      </c>
      <c r="G47" t="inlineStr">
        <is>
          <t>SVEDALA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26080-2026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46181</v>
      </c>
      <c r="E48" s="1" t="n">
        <v>46218</v>
      </c>
      <c r="F48" t="inlineStr">
        <is>
          <t>SKÅNE LÄN</t>
        </is>
      </c>
      <c r="G48" t="inlineStr">
        <is>
          <t>SVEDALA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26073-2026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46218</v>
      </c>
      <c r="F49" t="inlineStr">
        <is>
          <t>SKÅNE LÄN</t>
        </is>
      </c>
      <c r="G49" t="inlineStr">
        <is>
          <t>SVEDALA</t>
        </is>
      </c>
      <c r="I49" t="n">
        <v>7.3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27844-2026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46191</v>
      </c>
      <c r="E50" s="1" t="n">
        <v>46218</v>
      </c>
      <c r="F50" t="inlineStr">
        <is>
          <t>SKÅNE LÄN</t>
        </is>
      </c>
      <c r="G50" t="inlineStr">
        <is>
          <t>SVEDALA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64060-2025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46021</v>
      </c>
      <c r="E51" s="1" t="n">
        <v>46218</v>
      </c>
      <c r="F51" t="inlineStr">
        <is>
          <t>SKÅNE LÄN</t>
        </is>
      </c>
      <c r="G51" t="inlineStr">
        <is>
          <t>SVEDALA</t>
        </is>
      </c>
      <c r="I51" t="n">
        <v>6.4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31693-2023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45117</v>
      </c>
      <c r="E52" s="1" t="n">
        <v>46218</v>
      </c>
      <c r="F52" t="inlineStr">
        <is>
          <t>SKÅNE LÄN</t>
        </is>
      </c>
      <c r="G52" t="inlineStr">
        <is>
          <t>SVEDALA</t>
        </is>
      </c>
      <c r="I52" t="n">
        <v>4.1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15577-2024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45401</v>
      </c>
      <c r="E53" s="1" t="n">
        <v>46218</v>
      </c>
      <c r="F53" t="inlineStr">
        <is>
          <t>SKÅNE LÄN</t>
        </is>
      </c>
      <c r="G53" t="inlineStr">
        <is>
          <t>SVEDALA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64055-2025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46021</v>
      </c>
      <c r="E54" s="1" t="n">
        <v>46218</v>
      </c>
      <c r="F54" t="inlineStr">
        <is>
          <t>SKÅNE LÄN</t>
        </is>
      </c>
      <c r="G54" t="inlineStr">
        <is>
          <t>SVEDALA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64058-2025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46021</v>
      </c>
      <c r="E55" s="1" t="n">
        <v>46218</v>
      </c>
      <c r="F55" t="inlineStr">
        <is>
          <t>SKÅNE LÄN</t>
        </is>
      </c>
      <c r="G55" t="inlineStr">
        <is>
          <t>SVEDALA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64051-2025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46021</v>
      </c>
      <c r="E56" s="1" t="n">
        <v>46218</v>
      </c>
      <c r="F56" t="inlineStr">
        <is>
          <t>SKÅNE LÄN</t>
        </is>
      </c>
      <c r="G56" t="inlineStr">
        <is>
          <t>SVEDALA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64049-2025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46021</v>
      </c>
      <c r="E57" s="1" t="n">
        <v>46218</v>
      </c>
      <c r="F57" t="inlineStr">
        <is>
          <t>SKÅNE LÄN</t>
        </is>
      </c>
      <c r="G57" t="inlineStr">
        <is>
          <t>SVEDALA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51318-2025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45950</v>
      </c>
      <c r="E58" s="1" t="n">
        <v>46218</v>
      </c>
      <c r="F58" t="inlineStr">
        <is>
          <t>SKÅNE LÄN</t>
        </is>
      </c>
      <c r="G58" t="inlineStr">
        <is>
          <t>SVEDALA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25275-2026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46176</v>
      </c>
      <c r="E59" s="1" t="n">
        <v>46218</v>
      </c>
      <c r="F59" t="inlineStr">
        <is>
          <t>SKÅNE LÄN</t>
        </is>
      </c>
      <c r="G59" t="inlineStr">
        <is>
          <t>SVEDALA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S 1995-2026</t>
        </is>
      </c>
      <c r="B60" t="inlineStr">
        <is>
          <t>samrådsanmälan</t>
        </is>
      </c>
      <c r="C60" t="inlineStr">
        <is>
          <t>Askåterföring</t>
        </is>
      </c>
      <c r="D60" s="1" t="n">
        <v>46213</v>
      </c>
      <c r="E60" s="1" t="n">
        <v>46218</v>
      </c>
      <c r="F60" t="inlineStr">
        <is>
          <t>SKÅNE LÄN</t>
        </is>
      </c>
      <c r="G60" t="inlineStr">
        <is>
          <t>SVEDALA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>
      <c r="A61" t="inlineStr">
        <is>
          <t>S 1997-2026</t>
        </is>
      </c>
      <c r="B61" t="inlineStr">
        <is>
          <t>samrådsanmälan</t>
        </is>
      </c>
      <c r="C61" t="inlineStr">
        <is>
          <t>Askåterföring</t>
        </is>
      </c>
      <c r="D61" s="1" t="n">
        <v>46213</v>
      </c>
      <c r="E61" s="1" t="n">
        <v>46218</v>
      </c>
      <c r="F61" t="inlineStr">
        <is>
          <t>SKÅNE LÄN</t>
        </is>
      </c>
      <c r="G61" t="inlineStr">
        <is>
          <t>SVEDALA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2026-07-15T01:25:17Z</dcterms:created>
  <dcterms:modified xmlns:dcterms="http://purl.org/dc/terms/" xmlns:xsi="http://www.w3.org/2001/XMLSchema-instance" xsi:type="dcterms:W3CDTF">2026-07-15T01:25:17Z</dcterms:modified>
</cp:coreProperties>
</file>