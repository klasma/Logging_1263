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46232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46232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46232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46232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46232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46232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46232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46232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46232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46232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46232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46232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46232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25022-2026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46174</v>
      </c>
      <c r="E15" s="1" t="n">
        <v>46232</v>
      </c>
      <c r="F15" t="inlineStr">
        <is>
          <t>SKÅNE LÄN</t>
        </is>
      </c>
      <c r="G15" t="inlineStr">
        <is>
          <t>SVEDALA</t>
        </is>
      </c>
      <c r="I15" t="n">
        <v>4.2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3</v>
      </c>
      <c r="U15" t="n">
        <v>0</v>
      </c>
      <c r="V15" s="2" t="inlineStr">
        <is>
          <t>Mindre tåtelsmygare
Skogsknipprot</t>
        </is>
      </c>
      <c r="W15">
        <f>HYPERLINK("https://klasma.github.io/Logging_1263/artfynd/A 25022-2026 artfynd.xlsx", "A 25022-2026")</f>
        <v/>
      </c>
      <c r="X15">
        <f>HYPERLINK("https://klasma.github.io/Logging_1263/kartor/A 25022-2026 karta.png", "A 25022-2026")</f>
        <v/>
      </c>
      <c r="Y15">
        <f>HYPERLINK("https://klasma.github.io/Logging_1263/kartor_geotiff/A 25022-2026 georefererad karta.tif", "A 25022-2026")</f>
        <v/>
      </c>
      <c r="AA15">
        <f>HYPERLINK("https://klasma.github.io/Logging_1263/klagomål/A 25022-2026 FSC-klagomål.docx", "A 25022-2026")</f>
        <v/>
      </c>
      <c r="AB15">
        <f>HYPERLINK("https://klasma.github.io/Logging_1263/klagomålsmail/A 25022-2026 FSC-klagomål mail.docx", "A 25022-2026")</f>
        <v/>
      </c>
      <c r="AC15">
        <f>HYPERLINK("https://klasma.github.io/Logging_1263/tillsyn/A 25022-2026 tillsynsbegäran.docx", "A 25022-2026")</f>
        <v/>
      </c>
      <c r="AD15">
        <f>HYPERLINK("https://klasma.github.io/Logging_1263/tillsynsmail/A 25022-2026 tillsynsbegäran mail.docx", "A 25022-2026")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46232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46232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46232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46232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46232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46232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46232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46232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46232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46232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46232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46232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46232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46232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46232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59432-2022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44907</v>
      </c>
      <c r="E31" s="1" t="n">
        <v>46232</v>
      </c>
      <c r="F31" t="inlineStr">
        <is>
          <t>SKÅNE LÄN</t>
        </is>
      </c>
      <c r="G31" t="inlineStr">
        <is>
          <t>SVEDALA</t>
        </is>
      </c>
      <c r="I31" t="n">
        <v>5.1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25603-2024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45463</v>
      </c>
      <c r="E32" s="1" t="n">
        <v>46232</v>
      </c>
      <c r="F32" t="inlineStr">
        <is>
          <t>SKÅNE LÄN</t>
        </is>
      </c>
      <c r="G32" t="inlineStr">
        <is>
          <t>SVEDALA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64055-2025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46232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46232</v>
      </c>
      <c r="F34" t="inlineStr">
        <is>
          <t>SKÅNE LÄN</t>
        </is>
      </c>
      <c r="G34" t="inlineStr">
        <is>
          <t>SVEDALA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46232</v>
      </c>
      <c r="F35" t="inlineStr">
        <is>
          <t>SKÅNE LÄN</t>
        </is>
      </c>
      <c r="G35" t="inlineStr">
        <is>
          <t>SVEDALA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46232</v>
      </c>
      <c r="F36" t="inlineStr">
        <is>
          <t>SKÅNE LÄN</t>
        </is>
      </c>
      <c r="G36" t="inlineStr">
        <is>
          <t>SVEDALA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44897</v>
      </c>
      <c r="E37" s="1" t="n">
        <v>46232</v>
      </c>
      <c r="F37" t="inlineStr">
        <is>
          <t>SKÅNE LÄN</t>
        </is>
      </c>
      <c r="G37" t="inlineStr">
        <is>
          <t>SVEDALA</t>
        </is>
      </c>
      <c r="I37" t="n">
        <v>8.9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57803-2022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46232</v>
      </c>
      <c r="F38" t="inlineStr">
        <is>
          <t>SKÅNE LÄN</t>
        </is>
      </c>
      <c r="G38" t="inlineStr">
        <is>
          <t>SVEDALA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46232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46232</v>
      </c>
      <c r="F40" t="inlineStr">
        <is>
          <t>SKÅNE LÄN</t>
        </is>
      </c>
      <c r="G40" t="inlineStr">
        <is>
          <t>SVEDALA</t>
        </is>
      </c>
      <c r="I40" t="n">
        <v>6.4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46232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46232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46232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46191</v>
      </c>
      <c r="E44" s="1" t="n">
        <v>46232</v>
      </c>
      <c r="F44" t="inlineStr">
        <is>
          <t>SKÅNE LÄN</t>
        </is>
      </c>
      <c r="G44" t="inlineStr">
        <is>
          <t>SVEDALA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46232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15577-2024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45401</v>
      </c>
      <c r="E46" s="1" t="n">
        <v>46232</v>
      </c>
      <c r="F46" t="inlineStr">
        <is>
          <t>SKÅNE LÄN</t>
        </is>
      </c>
      <c r="G46" t="inlineStr">
        <is>
          <t>SVEDALA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45428</v>
      </c>
      <c r="E47" s="1" t="n">
        <v>46232</v>
      </c>
      <c r="F47" t="inlineStr">
        <is>
          <t>SKÅNE LÄN</t>
        </is>
      </c>
      <c r="G47" t="inlineStr">
        <is>
          <t>SVEDALA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46232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46232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51318-2025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45950</v>
      </c>
      <c r="E50" s="1" t="n">
        <v>46232</v>
      </c>
      <c r="F50" t="inlineStr">
        <is>
          <t>SKÅNE LÄN</t>
        </is>
      </c>
      <c r="G50" t="inlineStr">
        <is>
          <t>SVEDALA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25275-2026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46176</v>
      </c>
      <c r="E51" s="1" t="n">
        <v>46232</v>
      </c>
      <c r="F51" t="inlineStr">
        <is>
          <t>SKÅNE LÄN</t>
        </is>
      </c>
      <c r="G51" t="inlineStr">
        <is>
          <t>SVEDALA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13344-2023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45005</v>
      </c>
      <c r="E52" s="1" t="n">
        <v>46232</v>
      </c>
      <c r="F52" t="inlineStr">
        <is>
          <t>SKÅNE LÄN</t>
        </is>
      </c>
      <c r="G52" t="inlineStr">
        <is>
          <t>SVEDALA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46232</v>
      </c>
      <c r="F53" t="inlineStr">
        <is>
          <t>SKÅNE LÄN</t>
        </is>
      </c>
      <c r="G53" t="inlineStr">
        <is>
          <t>SVEDALA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46232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46232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46232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46232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46232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46232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46232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46232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2026-07-29T01:49:10Z</dcterms:created>
  <dcterms:modified xmlns:dcterms="http://purl.org/dc/terms/" xmlns:xsi="http://www.w3.org/2001/XMLSchema-instance" xsi:type="dcterms:W3CDTF">2026-07-29T01:49:10Z</dcterms:modified>
</cp:coreProperties>
</file>