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628-2025</t>
        </is>
      </c>
      <c r="B2" t="inlineStr">
        <is>
          <t>samrådsanmälan</t>
        </is>
      </c>
      <c r="C2" t="inlineStr">
        <is>
          <t>Askåterföring</t>
        </is>
      </c>
      <c r="D2" s="1" t="n">
        <v>45714</v>
      </c>
      <c r="E2" s="1" t="n">
        <v>46318</v>
      </c>
      <c r="F2" t="inlineStr">
        <is>
          <t>SKÅNE LÄN</t>
        </is>
      </c>
      <c r="G2" t="inlineStr">
        <is>
          <t>SVEDALA</t>
        </is>
      </c>
      <c r="I2" t="n">
        <v>67</v>
      </c>
      <c r="J2" t="n">
        <v>18</v>
      </c>
      <c r="K2" t="n">
        <v>2</v>
      </c>
      <c r="L2" t="n">
        <v>5</v>
      </c>
      <c r="M2" t="n">
        <v>3</v>
      </c>
      <c r="N2" t="n">
        <v>1</v>
      </c>
      <c r="O2" t="n">
        <v>0</v>
      </c>
      <c r="P2" t="n">
        <v>0</v>
      </c>
      <c r="Q2" t="n">
        <v>9</v>
      </c>
      <c r="R2" t="n">
        <v>4</v>
      </c>
      <c r="S2" t="n">
        <v>22</v>
      </c>
      <c r="T2" t="n">
        <v>30</v>
      </c>
      <c r="U2" t="n">
        <v>4</v>
      </c>
      <c r="V2" s="2" t="inlineStr">
        <is>
          <t>Skogsalm
Blå kärrhök
Grenticka
Grönfink
Entita
Grönsångare
Gulsparv
Mindre hackspett
Oxtungssvamp
Myskmadra
Skogsknipprot
Spillkråka
Citronfläckad kärrtrollslända
Gröngöling
Grönsiska
Kungsfågel
Röd glada
Skogsduva
Trana
Åkergroda
Kopparödla
Ätlig groda</t>
        </is>
      </c>
      <c r="W2">
        <f>HYPERLINK("https://klasma.github.io/Logging_1263/artfynd/S 628-2025 artfynd.xlsx", "S 628-2025")</f>
        <v/>
      </c>
      <c r="X2">
        <f>HYPERLINK("https://klasma.github.io/Logging_1263/kartor/S 628-2025 karta.png", "S 628-2025")</f>
        <v/>
      </c>
      <c r="Y2">
        <f>HYPERLINK("https://klasma.github.io/Logging_1263/kartor_geotiff/S 628-2025 georefererad karta.tif", "S 628-2025")</f>
        <v/>
      </c>
      <c r="AA2">
        <f>HYPERLINK("https://klasma.github.io/Logging_1263/klagomål/S 628-2025 FSC-klagomål.docx", "S 628-2025")</f>
        <v/>
      </c>
      <c r="AB2">
        <f>HYPERLINK("https://klasma.github.io/Logging_1263/klagomålsmail/S 628-2025 FSC-klagomål mail.docx", "S 628-2025")</f>
        <v/>
      </c>
      <c r="AC2">
        <f>HYPERLINK("https://klasma.github.io/Logging_1263/tillsyn/S 628-2025 tillsynsbegäran.docx", "S 628-2025")</f>
        <v/>
      </c>
      <c r="AD2">
        <f>HYPERLINK("https://klasma.github.io/Logging_1263/tillsynsmail/S 628-2025 tillsynsbegäran mail.docx", "S 628-2025")</f>
        <v/>
      </c>
      <c r="AE2">
        <f>HYPERLINK("https://klasma.github.io/Logging_1263/fåglar/S 628-2025 prioriterade fågelarter.docx", "S 628-2025")</f>
        <v/>
      </c>
    </row>
    <row r="3" ht="15" customHeight="1">
      <c r="A3" t="inlineStr">
        <is>
          <t>A 29032-2023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45104</v>
      </c>
      <c r="E3" s="1" t="n">
        <v>46318</v>
      </c>
      <c r="F3" t="inlineStr">
        <is>
          <t>SKÅNE LÄN</t>
        </is>
      </c>
      <c r="G3" t="inlineStr">
        <is>
          <t>SVEDALA</t>
        </is>
      </c>
      <c r="I3" t="n">
        <v>2</v>
      </c>
      <c r="J3" t="n">
        <v>15</v>
      </c>
      <c r="K3" t="n">
        <v>1</v>
      </c>
      <c r="L3" t="n">
        <v>4</v>
      </c>
      <c r="M3" t="n">
        <v>2</v>
      </c>
      <c r="N3" t="n">
        <v>0</v>
      </c>
      <c r="O3" t="n">
        <v>0</v>
      </c>
      <c r="P3" t="n">
        <v>0</v>
      </c>
      <c r="Q3" t="n">
        <v>6</v>
      </c>
      <c r="R3" t="n">
        <v>2</v>
      </c>
      <c r="S3" t="n">
        <v>15</v>
      </c>
      <c r="T3" t="n">
        <v>15</v>
      </c>
      <c r="U3" t="n">
        <v>2</v>
      </c>
      <c r="V3" s="2" t="inlineStr">
        <is>
          <t>Blå kärrhök
Grönfink
Entita
Grönsångare
Gulsparv
Mindre hackspett
Skogsknipprot
Spillkråka
Gröngöling
Kungsfågel
Röd glada
Skogsduva
Trana
Åkergroda
Vanlig groda</t>
        </is>
      </c>
      <c r="W3">
        <f>HYPERLINK("https://klasma.github.io/Logging_1263/artfynd/A 29032-2023 artfynd.xlsx", "A 29032-2023")</f>
        <v/>
      </c>
      <c r="X3">
        <f>HYPERLINK("https://klasma.github.io/Logging_1263/kartor/A 29032-2023 karta.png", "A 29032-2023")</f>
        <v/>
      </c>
      <c r="Y3">
        <f>HYPERLINK("https://klasma.github.io/Logging_1263/kartor_geotiff/A 29032-2023 georefererad karta.tif", "A 29032-2023")</f>
        <v/>
      </c>
      <c r="AA3">
        <f>HYPERLINK("https://klasma.github.io/Logging_1263/klagomål/A 29032-2023 FSC-klagomål.docx", "A 29032-2023")</f>
        <v/>
      </c>
      <c r="AB3">
        <f>HYPERLINK("https://klasma.github.io/Logging_1263/klagomålsmail/A 29032-2023 FSC-klagomål mail.docx", "A 29032-2023")</f>
        <v/>
      </c>
      <c r="AC3">
        <f>HYPERLINK("https://klasma.github.io/Logging_1263/tillsyn/A 29032-2023 tillsynsbegäran.docx", "A 29032-2023")</f>
        <v/>
      </c>
      <c r="AD3">
        <f>HYPERLINK("https://klasma.github.io/Logging_1263/tillsynsmail/A 29032-2023 tillsynsbegäran mail.docx", "A 29032-2023")</f>
        <v/>
      </c>
      <c r="AE3">
        <f>HYPERLINK("https://klasma.github.io/Logging_1263/fåglar/A 29032-2023 prioriterade fågelarter.docx", "A 29032-2023")</f>
        <v/>
      </c>
    </row>
    <row r="4" ht="15" customHeight="1">
      <c r="A4" t="inlineStr">
        <is>
          <t>A 25062-2026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46174</v>
      </c>
      <c r="E4" s="1" t="n">
        <v>46318</v>
      </c>
      <c r="F4" t="inlineStr">
        <is>
          <t>SKÅNE LÄN</t>
        </is>
      </c>
      <c r="G4" t="inlineStr">
        <is>
          <t>SVEDALA</t>
        </is>
      </c>
      <c r="I4" t="n">
        <v>3.3</v>
      </c>
      <c r="J4" t="n">
        <v>2</v>
      </c>
      <c r="K4" t="n">
        <v>7</v>
      </c>
      <c r="L4" t="n">
        <v>4</v>
      </c>
      <c r="M4" t="n">
        <v>0</v>
      </c>
      <c r="N4" t="n">
        <v>2</v>
      </c>
      <c r="O4" t="n">
        <v>0</v>
      </c>
      <c r="P4" t="n">
        <v>0</v>
      </c>
      <c r="Q4" t="n">
        <v>6</v>
      </c>
      <c r="R4" t="n">
        <v>2</v>
      </c>
      <c r="S4" t="n">
        <v>14</v>
      </c>
      <c r="T4" t="n">
        <v>14</v>
      </c>
      <c r="U4" t="n">
        <v>0</v>
      </c>
      <c r="V4" s="2" t="inlineStr">
        <is>
          <t>Ask
Lundäxing
Gullpudra
Skogsveronika
Sårläka
Vårärt
Hässleklocka
Lundvårlök
Myskmadra
Rutbläcksvamp
Skogsknipprot
Stor häxört
Tibast
Sankt pers nycklar</t>
        </is>
      </c>
      <c r="W4">
        <f>HYPERLINK("https://klasma.github.io/Logging_1263/artfynd/A 25062-2026 artfynd.xlsx", "A 25062-2026")</f>
        <v/>
      </c>
      <c r="X4">
        <f>HYPERLINK("https://klasma.github.io/Logging_1263/kartor/A 25062-2026 karta.png", "A 25062-2026")</f>
        <v/>
      </c>
      <c r="Y4">
        <f>HYPERLINK("https://klasma.github.io/Logging_1263/kartor_geotiff/A 25062-2026 georefererad karta.tif", "A 25062-2026")</f>
        <v/>
      </c>
      <c r="AA4">
        <f>HYPERLINK("https://klasma.github.io/Logging_1263/klagomål/A 25062-2026 FSC-klagomål.docx", "A 25062-2026")</f>
        <v/>
      </c>
      <c r="AB4">
        <f>HYPERLINK("https://klasma.github.io/Logging_1263/klagomålsmail/A 25062-2026 FSC-klagomål mail.docx", "A 25062-2026")</f>
        <v/>
      </c>
      <c r="AC4">
        <f>HYPERLINK("https://klasma.github.io/Logging_1263/tillsyn/A 25062-2026 tillsynsbegäran.docx", "A 25062-2026")</f>
        <v/>
      </c>
      <c r="AD4">
        <f>HYPERLINK("https://klasma.github.io/Logging_1263/tillsynsmail/A 25062-2026 tillsynsbegäran mail.docx", "A 25062-2026")</f>
        <v/>
      </c>
    </row>
    <row r="5" ht="15" customHeight="1">
      <c r="A5" t="inlineStr">
        <is>
          <t>A 28247-2025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45818</v>
      </c>
      <c r="E5" s="1" t="n">
        <v>46318</v>
      </c>
      <c r="F5" t="inlineStr">
        <is>
          <t>SKÅNE LÄN</t>
        </is>
      </c>
      <c r="G5" t="inlineStr">
        <is>
          <t>SVEDALA</t>
        </is>
      </c>
      <c r="I5" t="n">
        <v>6.2</v>
      </c>
      <c r="J5" t="n">
        <v>2</v>
      </c>
      <c r="K5" t="n">
        <v>4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7</v>
      </c>
      <c r="T5" t="n">
        <v>9</v>
      </c>
      <c r="U5" t="n">
        <v>1</v>
      </c>
      <c r="V5" s="2" t="inlineStr">
        <is>
          <t>Bokvårtlav
Skugglosta
Nästrot
Scharlakansskål
Scharlakansvårskål agg.
Trädporella
Kungsfågel</t>
        </is>
      </c>
      <c r="W5">
        <f>HYPERLINK("https://klasma.github.io/Logging_1263/artfynd/A 28247-2025 artfynd.xlsx", "A 28247-2025")</f>
        <v/>
      </c>
      <c r="X5">
        <f>HYPERLINK("https://klasma.github.io/Logging_1263/kartor/A 28247-2025 karta.png", "A 28247-2025")</f>
        <v/>
      </c>
      <c r="Y5">
        <f>HYPERLINK("https://klasma.github.io/Logging_1263/kartor_geotiff/A 28247-2025 georefererad karta.tif", "A 28247-2025")</f>
        <v/>
      </c>
      <c r="AA5">
        <f>HYPERLINK("https://klasma.github.io/Logging_1263/klagomål/A 28247-2025 FSC-klagomål.docx", "A 28247-2025")</f>
        <v/>
      </c>
      <c r="AB5">
        <f>HYPERLINK("https://klasma.github.io/Logging_1263/klagomålsmail/A 28247-2025 FSC-klagomål mail.docx", "A 28247-2025")</f>
        <v/>
      </c>
      <c r="AC5">
        <f>HYPERLINK("https://klasma.github.io/Logging_1263/tillsyn/A 28247-2025 tillsynsbegäran.docx", "A 28247-2025")</f>
        <v/>
      </c>
      <c r="AD5">
        <f>HYPERLINK("https://klasma.github.io/Logging_1263/tillsynsmail/A 28247-2025 tillsynsbegäran mail.docx", "A 28247-2025")</f>
        <v/>
      </c>
    </row>
    <row r="6" ht="15" customHeight="1">
      <c r="A6" t="inlineStr">
        <is>
          <t>A 25049-2026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46174</v>
      </c>
      <c r="E6" s="1" t="n">
        <v>46318</v>
      </c>
      <c r="F6" t="inlineStr">
        <is>
          <t>SKÅNE LÄN</t>
        </is>
      </c>
      <c r="G6" t="inlineStr">
        <is>
          <t>SVEDALA</t>
        </is>
      </c>
      <c r="I6" t="n">
        <v>1.3</v>
      </c>
      <c r="J6" t="n">
        <v>5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2</v>
      </c>
      <c r="R6" t="n">
        <v>1</v>
      </c>
      <c r="S6" t="n">
        <v>5</v>
      </c>
      <c r="T6" t="n">
        <v>5</v>
      </c>
      <c r="U6" t="n">
        <v>0</v>
      </c>
      <c r="V6" s="2" t="inlineStr">
        <is>
          <t>Vit stork
Bivråk
Fiskgjuse
Havsörn
Trana</t>
        </is>
      </c>
      <c r="W6">
        <f>HYPERLINK("https://klasma.github.io/Logging_1263/artfynd/A 25049-2026 artfynd.xlsx", "A 25049-2026")</f>
        <v/>
      </c>
      <c r="X6">
        <f>HYPERLINK("https://klasma.github.io/Logging_1263/kartor/A 25049-2026 karta.png", "A 25049-2026")</f>
        <v/>
      </c>
      <c r="Y6">
        <f>HYPERLINK("https://klasma.github.io/Logging_1263/kartor_geotiff/A 25049-2026 georefererad karta.tif", "A 25049-2026")</f>
        <v/>
      </c>
      <c r="AA6">
        <f>HYPERLINK("https://klasma.github.io/Logging_1263/klagomål/A 25049-2026 FSC-klagomål.docx", "A 25049-2026")</f>
        <v/>
      </c>
      <c r="AB6">
        <f>HYPERLINK("https://klasma.github.io/Logging_1263/klagomålsmail/A 25049-2026 FSC-klagomål mail.docx", "A 25049-2026")</f>
        <v/>
      </c>
      <c r="AC6">
        <f>HYPERLINK("https://klasma.github.io/Logging_1263/tillsyn/A 25049-2026 tillsynsbegäran.docx", "A 25049-2026")</f>
        <v/>
      </c>
      <c r="AD6">
        <f>HYPERLINK("https://klasma.github.io/Logging_1263/tillsynsmail/A 25049-2026 tillsynsbegäran mail.docx", "A 25049-2026")</f>
        <v/>
      </c>
      <c r="AE6">
        <f>HYPERLINK("https://klasma.github.io/Logging_1263/fåglar/A 25049-2026 prioriterade fågelarter.docx", "A 25049-2026")</f>
        <v/>
      </c>
    </row>
    <row r="7" ht="15" customHeight="1">
      <c r="A7" t="inlineStr">
        <is>
          <t>A 27244-2024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45471</v>
      </c>
      <c r="E7" s="1" t="n">
        <v>46318</v>
      </c>
      <c r="F7" t="inlineStr">
        <is>
          <t>SKÅNE LÄN</t>
        </is>
      </c>
      <c r="G7" t="inlineStr">
        <is>
          <t>SVEDALA</t>
        </is>
      </c>
      <c r="I7" t="n">
        <v>1.9</v>
      </c>
      <c r="J7" t="n">
        <v>1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5</v>
      </c>
      <c r="T7" t="n">
        <v>5</v>
      </c>
      <c r="U7" t="n">
        <v>1</v>
      </c>
      <c r="V7" s="2" t="inlineStr">
        <is>
          <t>Desmeknopp
Kragjordstjärna
Scharlakansskål
Stor häxört
Svartvit flugsnappare</t>
        </is>
      </c>
      <c r="W7">
        <f>HYPERLINK("https://klasma.github.io/Logging_1263/artfynd/A 27244-2024 artfynd.xlsx", "A 27244-2024")</f>
        <v/>
      </c>
      <c r="X7">
        <f>HYPERLINK("https://klasma.github.io/Logging_1263/kartor/A 27244-2024 karta.png", "A 27244-2024")</f>
        <v/>
      </c>
      <c r="Y7">
        <f>HYPERLINK("https://klasma.github.io/Logging_1263/kartor_geotiff/A 27244-2024 georefererad karta.tif", "A 27244-2024")</f>
        <v/>
      </c>
      <c r="AA7">
        <f>HYPERLINK("https://klasma.github.io/Logging_1263/klagomål/A 27244-2024 FSC-klagomål.docx", "A 27244-2024")</f>
        <v/>
      </c>
      <c r="AB7">
        <f>HYPERLINK("https://klasma.github.io/Logging_1263/klagomålsmail/A 27244-2024 FSC-klagomål mail.docx", "A 27244-2024")</f>
        <v/>
      </c>
      <c r="AC7">
        <f>HYPERLINK("https://klasma.github.io/Logging_1263/tillsyn/A 27244-2024 tillsynsbegäran.docx", "A 27244-2024")</f>
        <v/>
      </c>
      <c r="AD7">
        <f>HYPERLINK("https://klasma.github.io/Logging_1263/tillsynsmail/A 27244-2024 tillsynsbegäran mail.docx", "A 27244-2024")</f>
        <v/>
      </c>
    </row>
    <row r="8" ht="15" customHeight="1">
      <c r="A8" t="inlineStr">
        <is>
          <t>A 31700-2023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45117</v>
      </c>
      <c r="E8" s="1" t="n">
        <v>46318</v>
      </c>
      <c r="F8" t="inlineStr">
        <is>
          <t>SKÅNE LÄN</t>
        </is>
      </c>
      <c r="G8" t="inlineStr">
        <is>
          <t>SVEDALA</t>
        </is>
      </c>
      <c r="I8" t="n">
        <v>1.1</v>
      </c>
      <c r="J8" t="n">
        <v>3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2</v>
      </c>
      <c r="R8" t="n">
        <v>2</v>
      </c>
      <c r="S8" t="n">
        <v>4</v>
      </c>
      <c r="T8" t="n">
        <v>7</v>
      </c>
      <c r="U8" t="n">
        <v>2</v>
      </c>
      <c r="V8" s="2" t="inlineStr">
        <is>
          <t>Brun glada
Revig blodrot
Lövgroda
Större vattensalamander</t>
        </is>
      </c>
      <c r="W8">
        <f>HYPERLINK("https://klasma.github.io/Logging_1263/artfynd/A 31700-2023 artfynd.xlsx", "A 31700-2023")</f>
        <v/>
      </c>
      <c r="X8">
        <f>HYPERLINK("https://klasma.github.io/Logging_1263/kartor/A 31700-2023 karta.png", "A 31700-2023")</f>
        <v/>
      </c>
      <c r="Y8">
        <f>HYPERLINK("https://klasma.github.io/Logging_1263/kartor_geotiff/A 31700-2023 georefererad karta.tif", "A 31700-2023")</f>
        <v/>
      </c>
      <c r="AA8">
        <f>HYPERLINK("https://klasma.github.io/Logging_1263/klagomål/A 31700-2023 FSC-klagomål.docx", "A 31700-2023")</f>
        <v/>
      </c>
      <c r="AB8">
        <f>HYPERLINK("https://klasma.github.io/Logging_1263/klagomålsmail/A 31700-2023 FSC-klagomål mail.docx", "A 31700-2023")</f>
        <v/>
      </c>
      <c r="AC8">
        <f>HYPERLINK("https://klasma.github.io/Logging_1263/tillsyn/A 31700-2023 tillsynsbegäran.docx", "A 31700-2023")</f>
        <v/>
      </c>
      <c r="AD8">
        <f>HYPERLINK("https://klasma.github.io/Logging_1263/tillsynsmail/A 31700-2023 tillsynsbegäran mail.docx", "A 31700-2023")</f>
        <v/>
      </c>
      <c r="AE8">
        <f>HYPERLINK("https://klasma.github.io/Logging_1263/fåglar/A 31700-2023 prioriterade fågelarter.docx", "A 31700-2023")</f>
        <v/>
      </c>
    </row>
    <row r="9" ht="15" customHeight="1">
      <c r="A9" t="inlineStr">
        <is>
          <t>A 14150-2023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45009</v>
      </c>
      <c r="E9" s="1" t="n">
        <v>46318</v>
      </c>
      <c r="F9" t="inlineStr">
        <is>
          <t>SKÅNE LÄN</t>
        </is>
      </c>
      <c r="G9" t="inlineStr">
        <is>
          <t>SVEDALA</t>
        </is>
      </c>
      <c r="I9" t="n">
        <v>2.5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</v>
      </c>
      <c r="T9" t="n">
        <v>7</v>
      </c>
      <c r="U9" t="n">
        <v>7</v>
      </c>
      <c r="V9" s="2" t="inlineStr">
        <is>
          <t>Guldlockmossa
Lönnlav
Platt fjädermossa
Tibast</t>
        </is>
      </c>
      <c r="W9">
        <f>HYPERLINK("https://klasma.github.io/Logging_1263/artfynd/A 14150-2023 artfynd.xlsx", "A 14150-2023")</f>
        <v/>
      </c>
      <c r="X9">
        <f>HYPERLINK("https://klasma.github.io/Logging_1263/kartor/A 14150-2023 karta.png", "A 14150-2023")</f>
        <v/>
      </c>
      <c r="Y9">
        <f>HYPERLINK("https://klasma.github.io/Logging_1263/kartor_geotiff/A 14150-2023 georefererad karta.tif", "A 14150-2023")</f>
        <v/>
      </c>
      <c r="AA9">
        <f>HYPERLINK("https://klasma.github.io/Logging_1263/klagomål/A 14150-2023 FSC-klagomål.docx", "A 14150-2023")</f>
        <v/>
      </c>
      <c r="AB9">
        <f>HYPERLINK("https://klasma.github.io/Logging_1263/klagomålsmail/A 14150-2023 FSC-klagomål mail.docx", "A 14150-2023")</f>
        <v/>
      </c>
      <c r="AC9">
        <f>HYPERLINK("https://klasma.github.io/Logging_1263/tillsyn/A 14150-2023 tillsynsbegäran.docx", "A 14150-2023")</f>
        <v/>
      </c>
      <c r="AD9">
        <f>HYPERLINK("https://klasma.github.io/Logging_1263/tillsynsmail/A 14150-2023 tillsynsbegäran mail.docx", "A 14150-2023")</f>
        <v/>
      </c>
    </row>
    <row r="10" ht="15" customHeight="1">
      <c r="A10" t="inlineStr">
        <is>
          <t>A 16122-2024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45406</v>
      </c>
      <c r="E10" s="1" t="n">
        <v>46318</v>
      </c>
      <c r="F10" t="inlineStr">
        <is>
          <t>SKÅNE LÄN</t>
        </is>
      </c>
      <c r="G10" t="inlineStr">
        <is>
          <t>SVEDALA</t>
        </is>
      </c>
      <c r="I10" t="n">
        <v>15.2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3</v>
      </c>
      <c r="T10" t="n">
        <v>3</v>
      </c>
      <c r="U10" t="n">
        <v>2</v>
      </c>
      <c r="V10" s="2" t="inlineStr">
        <is>
          <t>Oxtungssvamp
Myskmadra
Svartvit flugsnappare</t>
        </is>
      </c>
      <c r="W10">
        <f>HYPERLINK("https://klasma.github.io/Logging_1263/artfynd/A 16122-2024 artfynd.xlsx", "A 16122-2024")</f>
        <v/>
      </c>
      <c r="X10">
        <f>HYPERLINK("https://klasma.github.io/Logging_1263/kartor/A 16122-2024 karta.png", "A 16122-2024")</f>
        <v/>
      </c>
      <c r="Y10">
        <f>HYPERLINK("https://klasma.github.io/Logging_1263/kartor_geotiff/A 16122-2024 georefererad karta.tif", "A 16122-2024")</f>
        <v/>
      </c>
      <c r="AA10">
        <f>HYPERLINK("https://klasma.github.io/Logging_1263/klagomål/A 16122-2024 FSC-klagomål.docx", "A 16122-2024")</f>
        <v/>
      </c>
      <c r="AB10">
        <f>HYPERLINK("https://klasma.github.io/Logging_1263/klagomålsmail/A 16122-2024 FSC-klagomål mail.docx", "A 16122-2024")</f>
        <v/>
      </c>
      <c r="AC10">
        <f>HYPERLINK("https://klasma.github.io/Logging_1263/tillsyn/A 16122-2024 tillsynsbegäran.docx", "A 16122-2024")</f>
        <v/>
      </c>
      <c r="AD10">
        <f>HYPERLINK("https://klasma.github.io/Logging_1263/tillsynsmail/A 16122-2024 tillsynsbegäran mail.docx", "A 16122-2024")</f>
        <v/>
      </c>
    </row>
    <row r="11" ht="15" customHeight="1">
      <c r="A11" t="inlineStr">
        <is>
          <t>A 2482-2025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45674</v>
      </c>
      <c r="E11" s="1" t="n">
        <v>46318</v>
      </c>
      <c r="F11" t="inlineStr">
        <is>
          <t>SKÅNE LÄN</t>
        </is>
      </c>
      <c r="G11" t="inlineStr">
        <is>
          <t>SVEDALA</t>
        </is>
      </c>
      <c r="I11" t="n">
        <v>0.5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2</v>
      </c>
      <c r="T11" t="n">
        <v>2</v>
      </c>
      <c r="U11" t="n">
        <v>0</v>
      </c>
      <c r="V11" s="2" t="inlineStr">
        <is>
          <t>Korallticka
Ekoxe</t>
        </is>
      </c>
      <c r="W11">
        <f>HYPERLINK("https://klasma.github.io/Logging_1263/artfynd/A 2482-2025 artfynd.xlsx", "A 2482-2025")</f>
        <v/>
      </c>
      <c r="X11">
        <f>HYPERLINK("https://klasma.github.io/Logging_1263/kartor/A 2482-2025 karta.png", "A 2482-2025")</f>
        <v/>
      </c>
      <c r="Y11">
        <f>HYPERLINK("https://klasma.github.io/Logging_1263/kartor_geotiff/A 2482-2025 georefererad karta.tif", "A 2482-2025")</f>
        <v/>
      </c>
      <c r="AA11">
        <f>HYPERLINK("https://klasma.github.io/Logging_1263/klagomål/A 2482-2025 FSC-klagomål.docx", "A 2482-2025")</f>
        <v/>
      </c>
      <c r="AB11">
        <f>HYPERLINK("https://klasma.github.io/Logging_1263/klagomålsmail/A 2482-2025 FSC-klagomål mail.docx", "A 2482-2025")</f>
        <v/>
      </c>
      <c r="AC11">
        <f>HYPERLINK("https://klasma.github.io/Logging_1263/tillsyn/A 2482-2025 tillsynsbegäran.docx", "A 2482-2025")</f>
        <v/>
      </c>
      <c r="AD11">
        <f>HYPERLINK("https://klasma.github.io/Logging_1263/tillsynsmail/A 2482-2025 tillsynsbegäran mail.docx", "A 2482-2025")</f>
        <v/>
      </c>
    </row>
    <row r="12" ht="15" customHeight="1">
      <c r="A12" t="inlineStr">
        <is>
          <t>A 31697-2023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45117</v>
      </c>
      <c r="E12" s="1" t="n">
        <v>46318</v>
      </c>
      <c r="F12" t="inlineStr">
        <is>
          <t>SKÅNE LÄN</t>
        </is>
      </c>
      <c r="G12" t="inlineStr">
        <is>
          <t>SVEDALA</t>
        </is>
      </c>
      <c r="I12" t="n">
        <v>2.2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2</v>
      </c>
      <c r="U12" t="n">
        <v>0</v>
      </c>
      <c r="V12" s="2" t="inlineStr">
        <is>
          <t>Lövgroda
Större vattensalamander</t>
        </is>
      </c>
      <c r="W12">
        <f>HYPERLINK("https://klasma.github.io/Logging_1263/artfynd/A 31697-2023 artfynd.xlsx", "A 31697-2023")</f>
        <v/>
      </c>
      <c r="X12">
        <f>HYPERLINK("https://klasma.github.io/Logging_1263/kartor/A 31697-2023 karta.png", "A 31697-2023")</f>
        <v/>
      </c>
      <c r="Y12">
        <f>HYPERLINK("https://klasma.github.io/Logging_1263/kartor_geotiff/A 31697-2023 georefererad karta.tif", "A 31697-2023")</f>
        <v/>
      </c>
      <c r="AA12">
        <f>HYPERLINK("https://klasma.github.io/Logging_1263/klagomål/A 31697-2023 FSC-klagomål.docx", "A 31697-2023")</f>
        <v/>
      </c>
      <c r="AB12">
        <f>HYPERLINK("https://klasma.github.io/Logging_1263/klagomålsmail/A 31697-2023 FSC-klagomål mail.docx", "A 31697-2023")</f>
        <v/>
      </c>
      <c r="AC12">
        <f>HYPERLINK("https://klasma.github.io/Logging_1263/tillsyn/A 31697-2023 tillsynsbegäran.docx", "A 31697-2023")</f>
        <v/>
      </c>
      <c r="AD12">
        <f>HYPERLINK("https://klasma.github.io/Logging_1263/tillsynsmail/A 31697-2023 tillsynsbegäran mail.docx", "A 31697-2023")</f>
        <v/>
      </c>
    </row>
    <row r="13" ht="15" customHeight="1">
      <c r="A13" t="inlineStr">
        <is>
          <t>A 38011-2023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45160</v>
      </c>
      <c r="E13" s="1" t="n">
        <v>46318</v>
      </c>
      <c r="F13" t="inlineStr">
        <is>
          <t>SKÅNE LÄN</t>
        </is>
      </c>
      <c r="G13" t="inlineStr">
        <is>
          <t>SVEDALA</t>
        </is>
      </c>
      <c r="I13" t="n">
        <v>2.8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2</v>
      </c>
      <c r="U13" t="n">
        <v>0</v>
      </c>
      <c r="V13" s="2" t="inlineStr">
        <is>
          <t>Lökgroda
Skogsknipprot</t>
        </is>
      </c>
      <c r="W13">
        <f>HYPERLINK("https://klasma.github.io/Logging_1263/artfynd/A 38011-2023 artfynd.xlsx", "A 38011-2023")</f>
        <v/>
      </c>
      <c r="X13">
        <f>HYPERLINK("https://klasma.github.io/Logging_1263/kartor/A 38011-2023 karta.png", "A 38011-2023")</f>
        <v/>
      </c>
      <c r="Y13">
        <f>HYPERLINK("https://klasma.github.io/Logging_1263/kartor_geotiff/A 38011-2023 georefererad karta.tif", "A 38011-2023")</f>
        <v/>
      </c>
      <c r="AA13">
        <f>HYPERLINK("https://klasma.github.io/Logging_1263/klagomål/A 38011-2023 FSC-klagomål.docx", "A 38011-2023")</f>
        <v/>
      </c>
      <c r="AB13">
        <f>HYPERLINK("https://klasma.github.io/Logging_1263/klagomålsmail/A 38011-2023 FSC-klagomål mail.docx", "A 38011-2023")</f>
        <v/>
      </c>
      <c r="AC13">
        <f>HYPERLINK("https://klasma.github.io/Logging_1263/tillsyn/A 38011-2023 tillsynsbegäran.docx", "A 38011-2023")</f>
        <v/>
      </c>
      <c r="AD13">
        <f>HYPERLINK("https://klasma.github.io/Logging_1263/tillsynsmail/A 38011-2023 tillsynsbegäran mail.docx", "A 38011-2023")</f>
        <v/>
      </c>
    </row>
    <row r="14" ht="15" customHeight="1">
      <c r="A14" t="inlineStr">
        <is>
          <t>A 15565-2024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45401</v>
      </c>
      <c r="E14" s="1" t="n">
        <v>46318</v>
      </c>
      <c r="F14" t="inlineStr">
        <is>
          <t>SKÅNE LÄN</t>
        </is>
      </c>
      <c r="G14" t="inlineStr">
        <is>
          <t>SVEDALA</t>
        </is>
      </c>
      <c r="I14" t="n">
        <v>7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2</v>
      </c>
      <c r="T14" t="n">
        <v>4</v>
      </c>
      <c r="U14" t="n">
        <v>2</v>
      </c>
      <c r="V14" s="2" t="inlineStr">
        <is>
          <t>Skogsalm
Igelkott</t>
        </is>
      </c>
      <c r="W14">
        <f>HYPERLINK("https://klasma.github.io/Logging_1263/artfynd/A 15565-2024 artfynd.xlsx", "A 15565-2024")</f>
        <v/>
      </c>
      <c r="X14">
        <f>HYPERLINK("https://klasma.github.io/Logging_1263/kartor/A 15565-2024 karta.png", "A 15565-2024")</f>
        <v/>
      </c>
      <c r="Y14">
        <f>HYPERLINK("https://klasma.github.io/Logging_1263/kartor_geotiff/A 15565-2024 georefererad karta.tif", "A 15565-2024")</f>
        <v/>
      </c>
      <c r="AA14">
        <f>HYPERLINK("https://klasma.github.io/Logging_1263/klagomål/A 15565-2024 FSC-klagomål.docx", "A 15565-2024")</f>
        <v/>
      </c>
      <c r="AB14">
        <f>HYPERLINK("https://klasma.github.io/Logging_1263/klagomålsmail/A 15565-2024 FSC-klagomål mail.docx", "A 15565-2024")</f>
        <v/>
      </c>
      <c r="AC14">
        <f>HYPERLINK("https://klasma.github.io/Logging_1263/tillsyn/A 15565-2024 tillsynsbegäran.docx", "A 15565-2024")</f>
        <v/>
      </c>
      <c r="AD14">
        <f>HYPERLINK("https://klasma.github.io/Logging_1263/tillsynsmail/A 15565-2024 tillsynsbegäran mail.docx", "A 15565-2024")</f>
        <v/>
      </c>
    </row>
    <row r="15" ht="15" customHeight="1">
      <c r="A15" t="inlineStr">
        <is>
          <t>A 58350-2025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45985</v>
      </c>
      <c r="E15" s="1" t="n">
        <v>46318</v>
      </c>
      <c r="F15" t="inlineStr">
        <is>
          <t>SKÅNE LÄN</t>
        </is>
      </c>
      <c r="G15" t="inlineStr">
        <is>
          <t>SVEDALA</t>
        </is>
      </c>
      <c r="I15" t="n">
        <v>6.9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2</v>
      </c>
      <c r="U15" t="n">
        <v>1</v>
      </c>
      <c r="V15" s="2" t="inlineStr">
        <is>
          <t>Koralltaggsvamp
Stor revmossa</t>
        </is>
      </c>
      <c r="W15">
        <f>HYPERLINK("https://klasma.github.io/Logging_1263/artfynd/A 58350-2025 artfynd.xlsx", "A 58350-2025")</f>
        <v/>
      </c>
      <c r="X15">
        <f>HYPERLINK("https://klasma.github.io/Logging_1263/kartor/A 58350-2025 karta.png", "A 58350-2025")</f>
        <v/>
      </c>
      <c r="Y15">
        <f>HYPERLINK("https://klasma.github.io/Logging_1263/kartor_geotiff/A 58350-2025 georefererad karta.tif", "A 58350-2025")</f>
        <v/>
      </c>
      <c r="AA15">
        <f>HYPERLINK("https://klasma.github.io/Logging_1263/klagomål/A 58350-2025 FSC-klagomål.docx", "A 58350-2025")</f>
        <v/>
      </c>
      <c r="AB15">
        <f>HYPERLINK("https://klasma.github.io/Logging_1263/klagomålsmail/A 58350-2025 FSC-klagomål mail.docx", "A 58350-2025")</f>
        <v/>
      </c>
      <c r="AC15">
        <f>HYPERLINK("https://klasma.github.io/Logging_1263/tillsyn/A 58350-2025 tillsynsbegäran.docx", "A 58350-2025")</f>
        <v/>
      </c>
      <c r="AD15">
        <f>HYPERLINK("https://klasma.github.io/Logging_1263/tillsynsmail/A 58350-2025 tillsynsbegäran mail.docx", "A 58350-2025")</f>
        <v/>
      </c>
    </row>
    <row r="16" ht="15" customHeight="1">
      <c r="A16" t="inlineStr">
        <is>
          <t>A 9570-2026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46070</v>
      </c>
      <c r="E16" s="1" t="n">
        <v>46318</v>
      </c>
      <c r="F16" t="inlineStr">
        <is>
          <t>SKÅNE LÄN</t>
        </is>
      </c>
      <c r="G16" t="inlineStr">
        <is>
          <t>SVEDALA</t>
        </is>
      </c>
      <c r="I16" t="n">
        <v>6.6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s="2" t="inlineStr">
        <is>
          <t>Lövgroda
Större vattensalamander</t>
        </is>
      </c>
      <c r="W16">
        <f>HYPERLINK("https://klasma.github.io/Logging_1263/artfynd/A 9570-2026 artfynd.xlsx", "A 9570-2026")</f>
        <v/>
      </c>
      <c r="X16">
        <f>HYPERLINK("https://klasma.github.io/Logging_1263/kartor/A 9570-2026 karta.png", "A 9570-2026")</f>
        <v/>
      </c>
      <c r="Y16">
        <f>HYPERLINK("https://klasma.github.io/Logging_1263/kartor_geotiff/A 9570-2026 georefererad karta.tif", "A 9570-2026")</f>
        <v/>
      </c>
      <c r="AA16">
        <f>HYPERLINK("https://klasma.github.io/Logging_1263/klagomål/A 9570-2026 FSC-klagomål.docx", "A 9570-2026")</f>
        <v/>
      </c>
      <c r="AB16">
        <f>HYPERLINK("https://klasma.github.io/Logging_1263/klagomålsmail/A 9570-2026 FSC-klagomål mail.docx", "A 9570-2026")</f>
        <v/>
      </c>
      <c r="AC16">
        <f>HYPERLINK("https://klasma.github.io/Logging_1263/tillsyn/A 9570-2026 tillsynsbegäran.docx", "A 9570-2026")</f>
        <v/>
      </c>
      <c r="AD16">
        <f>HYPERLINK("https://klasma.github.io/Logging_1263/tillsynsmail/A 9570-2026 tillsynsbegäran mail.docx", "A 9570-2026")</f>
        <v/>
      </c>
    </row>
    <row r="17" ht="15" customHeight="1">
      <c r="A17" t="inlineStr">
        <is>
          <t>A 25022-2026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46174</v>
      </c>
      <c r="E17" s="1" t="n">
        <v>46318</v>
      </c>
      <c r="F17" t="inlineStr">
        <is>
          <t>SKÅNE LÄN</t>
        </is>
      </c>
      <c r="G17" t="inlineStr">
        <is>
          <t>SVEDALA</t>
        </is>
      </c>
      <c r="I17" t="n">
        <v>4.2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3</v>
      </c>
      <c r="U17" t="n">
        <v>0</v>
      </c>
      <c r="V17" s="2" t="inlineStr">
        <is>
          <t>Mindre tåtelsmygare
Skogsknipprot</t>
        </is>
      </c>
      <c r="W17">
        <f>HYPERLINK("https://klasma.github.io/Logging_1263/artfynd/A 25022-2026 artfynd.xlsx", "A 25022-2026")</f>
        <v/>
      </c>
      <c r="X17">
        <f>HYPERLINK("https://klasma.github.io/Logging_1263/kartor/A 25022-2026 karta.png", "A 25022-2026")</f>
        <v/>
      </c>
      <c r="Y17">
        <f>HYPERLINK("https://klasma.github.io/Logging_1263/kartor_geotiff/A 25022-2026 georefererad karta.tif", "A 25022-2026")</f>
        <v/>
      </c>
      <c r="AA17">
        <f>HYPERLINK("https://klasma.github.io/Logging_1263/klagomål/A 25022-2026 FSC-klagomål.docx", "A 25022-2026")</f>
        <v/>
      </c>
      <c r="AB17">
        <f>HYPERLINK("https://klasma.github.io/Logging_1263/klagomålsmail/A 25022-2026 FSC-klagomål mail.docx", "A 25022-2026")</f>
        <v/>
      </c>
      <c r="AC17">
        <f>HYPERLINK("https://klasma.github.io/Logging_1263/tillsyn/A 25022-2026 tillsynsbegäran.docx", "A 25022-2026")</f>
        <v/>
      </c>
      <c r="AD17">
        <f>HYPERLINK("https://klasma.github.io/Logging_1263/tillsynsmail/A 25022-2026 tillsynsbegäran mail.docx", "A 25022-2026")</f>
        <v/>
      </c>
    </row>
    <row r="18" ht="15" customHeight="1">
      <c r="A18" t="inlineStr">
        <is>
          <t>S 1998-2026</t>
        </is>
      </c>
      <c r="B18" t="inlineStr">
        <is>
          <t>samrådsanmälan</t>
        </is>
      </c>
      <c r="C18" t="inlineStr">
        <is>
          <t>Askåterföring</t>
        </is>
      </c>
      <c r="D18" s="1" t="n">
        <v>46213</v>
      </c>
      <c r="E18" s="1" t="n">
        <v>46318</v>
      </c>
      <c r="F18" t="inlineStr">
        <is>
          <t>SKÅNE LÄN</t>
        </is>
      </c>
      <c r="G18" t="inlineStr">
        <is>
          <t>SVEDALA</t>
        </is>
      </c>
      <c r="I18" t="n">
        <v>10.6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2</v>
      </c>
      <c r="U18" t="n">
        <v>0</v>
      </c>
      <c r="V18" s="2" t="inlineStr">
        <is>
          <t>Duvhök
Fiskgjuse</t>
        </is>
      </c>
      <c r="W18">
        <f>HYPERLINK("https://klasma.github.io/Logging_1263/artfynd/S 1998-2026 artfynd.xlsx", "S 1998-2026")</f>
        <v/>
      </c>
      <c r="X18">
        <f>HYPERLINK("https://klasma.github.io/Logging_1263/kartor/S 1998-2026 karta.png", "S 1998-2026")</f>
        <v/>
      </c>
      <c r="Y18">
        <f>HYPERLINK("https://klasma.github.io/Logging_1263/kartor_geotiff/S 1998-2026 georefererad karta.tif", "S 1998-2026")</f>
        <v/>
      </c>
      <c r="AA18">
        <f>HYPERLINK("https://klasma.github.io/Logging_1263/klagomål/S 1998-2026 FSC-klagomål.docx", "S 1998-2026")</f>
        <v/>
      </c>
      <c r="AB18">
        <f>HYPERLINK("https://klasma.github.io/Logging_1263/klagomålsmail/S 1998-2026 FSC-klagomål mail.docx", "S 1998-2026")</f>
        <v/>
      </c>
      <c r="AC18">
        <f>HYPERLINK("https://klasma.github.io/Logging_1263/tillsyn/S 1998-2026 tillsynsbegäran.docx", "S 1998-2026")</f>
        <v/>
      </c>
      <c r="AD18">
        <f>HYPERLINK("https://klasma.github.io/Logging_1263/tillsynsmail/S 1998-2026 tillsynsbegäran mail.docx", "S 1998-2026")</f>
        <v/>
      </c>
      <c r="AE18">
        <f>HYPERLINK("https://klasma.github.io/Logging_1263/fåglar/S 1998-2026 prioriterade fågelarter.docx", "S 1998-2026")</f>
        <v/>
      </c>
    </row>
    <row r="19" ht="15" customHeight="1">
      <c r="A19" t="inlineStr">
        <is>
          <t>S 1999-2026</t>
        </is>
      </c>
      <c r="B19" t="inlineStr">
        <is>
          <t>samrådsanmälan</t>
        </is>
      </c>
      <c r="C19" t="inlineStr">
        <is>
          <t>Askåterföring</t>
        </is>
      </c>
      <c r="D19" s="1" t="n">
        <v>46213</v>
      </c>
      <c r="E19" s="1" t="n">
        <v>46318</v>
      </c>
      <c r="F19" t="inlineStr">
        <is>
          <t>SKÅNE LÄN</t>
        </is>
      </c>
      <c r="G19" t="inlineStr">
        <is>
          <t>SVEDALA</t>
        </is>
      </c>
      <c r="I19" t="n">
        <v>14.9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2</v>
      </c>
      <c r="T19" t="n">
        <v>3</v>
      </c>
      <c r="U19" t="n">
        <v>0</v>
      </c>
      <c r="V19" s="2" t="inlineStr">
        <is>
          <t>Revig blodrot
Ekoxe</t>
        </is>
      </c>
      <c r="W19">
        <f>HYPERLINK("https://klasma.github.io/Logging_1263/artfynd/S 1999-2026 artfynd.xlsx", "S 1999-2026")</f>
        <v/>
      </c>
      <c r="X19">
        <f>HYPERLINK("https://klasma.github.io/Logging_1263/kartor/S 1999-2026 karta.png", "S 1999-2026")</f>
        <v/>
      </c>
      <c r="Y19">
        <f>HYPERLINK("https://klasma.github.io/Logging_1263/kartor_geotiff/S 1999-2026 georefererad karta.tif", "S 1999-2026")</f>
        <v/>
      </c>
      <c r="AA19">
        <f>HYPERLINK("https://klasma.github.io/Logging_1263/klagomål/S 1999-2026 FSC-klagomål.docx", "S 1999-2026")</f>
        <v/>
      </c>
      <c r="AB19">
        <f>HYPERLINK("https://klasma.github.io/Logging_1263/klagomålsmail/S 1999-2026 FSC-klagomål mail.docx", "S 1999-2026")</f>
        <v/>
      </c>
      <c r="AC19">
        <f>HYPERLINK("https://klasma.github.io/Logging_1263/tillsyn/S 1999-2026 tillsynsbegäran.docx", "S 1999-2026")</f>
        <v/>
      </c>
      <c r="AD19">
        <f>HYPERLINK("https://klasma.github.io/Logging_1263/tillsynsmail/S 1999-2026 tillsynsbegäran mail.docx", "S 1999-2026")</f>
        <v/>
      </c>
    </row>
    <row r="20" ht="15" customHeight="1">
      <c r="A20" t="inlineStr">
        <is>
          <t>A 18464-2022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44686</v>
      </c>
      <c r="E20" s="1" t="n">
        <v>46318</v>
      </c>
      <c r="F20" t="inlineStr">
        <is>
          <t>SKÅNE LÄN</t>
        </is>
      </c>
      <c r="G20" t="inlineStr">
        <is>
          <t>SVEDALA</t>
        </is>
      </c>
      <c r="I20" t="n">
        <v>1.5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Vanlig groda</t>
        </is>
      </c>
      <c r="W20">
        <f>HYPERLINK("https://klasma.github.io/Logging_1263/artfynd/A 18464-2022 artfynd.xlsx", "A 18464-2022")</f>
        <v/>
      </c>
      <c r="X20">
        <f>HYPERLINK("https://klasma.github.io/Logging_1263/kartor/A 18464-2022 karta.png", "A 18464-2022")</f>
        <v/>
      </c>
      <c r="Y20">
        <f>HYPERLINK("https://klasma.github.io/Logging_1263/kartor_geotiff/A 18464-2022 georefererad karta.tif", "A 18464-2022")</f>
        <v/>
      </c>
      <c r="AA20">
        <f>HYPERLINK("https://klasma.github.io/Logging_1263/klagomål/A 18464-2022 FSC-klagomål.docx", "A 18464-2022")</f>
        <v/>
      </c>
      <c r="AB20">
        <f>HYPERLINK("https://klasma.github.io/Logging_1263/klagomålsmail/A 18464-2022 FSC-klagomål mail.docx", "A 18464-2022")</f>
        <v/>
      </c>
      <c r="AC20">
        <f>HYPERLINK("https://klasma.github.io/Logging_1263/tillsyn/A 18464-2022 tillsynsbegäran.docx", "A 18464-2022")</f>
        <v/>
      </c>
      <c r="AD20">
        <f>HYPERLINK("https://klasma.github.io/Logging_1263/tillsynsmail/A 18464-2022 tillsynsbegäran mail.docx", "A 18464-2022")</f>
        <v/>
      </c>
    </row>
    <row r="21" ht="15" customHeight="1">
      <c r="A21" t="inlineStr">
        <is>
          <t>A 27107-2022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44741</v>
      </c>
      <c r="E21" s="1" t="n">
        <v>46318</v>
      </c>
      <c r="F21" t="inlineStr">
        <is>
          <t>SKÅNE LÄN</t>
        </is>
      </c>
      <c r="G21" t="inlineStr">
        <is>
          <t>SVEDALA</t>
        </is>
      </c>
      <c r="I21" t="n">
        <v>10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Kungsfågel</t>
        </is>
      </c>
      <c r="W21">
        <f>HYPERLINK("https://klasma.github.io/Logging_1263/artfynd/A 27107-2022 artfynd.xlsx", "A 27107-2022")</f>
        <v/>
      </c>
      <c r="X21">
        <f>HYPERLINK("https://klasma.github.io/Logging_1263/kartor/A 27107-2022 karta.png", "A 27107-2022")</f>
        <v/>
      </c>
      <c r="Y21">
        <f>HYPERLINK("https://klasma.github.io/Logging_1263/kartor_geotiff/A 27107-2022 georefererad karta.tif", "A 27107-2022")</f>
        <v/>
      </c>
      <c r="AA21">
        <f>HYPERLINK("https://klasma.github.io/Logging_1263/klagomål/A 27107-2022 FSC-klagomål.docx", "A 27107-2022")</f>
        <v/>
      </c>
      <c r="AB21">
        <f>HYPERLINK("https://klasma.github.io/Logging_1263/klagomålsmail/A 27107-2022 FSC-klagomål mail.docx", "A 27107-2022")</f>
        <v/>
      </c>
      <c r="AC21">
        <f>HYPERLINK("https://klasma.github.io/Logging_1263/tillsyn/A 27107-2022 tillsynsbegäran.docx", "A 27107-2022")</f>
        <v/>
      </c>
      <c r="AD21">
        <f>HYPERLINK("https://klasma.github.io/Logging_1263/tillsynsmail/A 27107-2022 tillsynsbegäran mail.docx", "A 27107-2022")</f>
        <v/>
      </c>
    </row>
    <row r="22" ht="15" customHeight="1">
      <c r="A22" t="inlineStr">
        <is>
          <t>A 15571-2024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45401</v>
      </c>
      <c r="E22" s="1" t="n">
        <v>46318</v>
      </c>
      <c r="F22" t="inlineStr">
        <is>
          <t>SKÅNE LÄN</t>
        </is>
      </c>
      <c r="G22" t="inlineStr">
        <is>
          <t>SVEDALA</t>
        </is>
      </c>
      <c r="I22" t="n">
        <v>11.1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Svart skogssnigel</t>
        </is>
      </c>
      <c r="W22">
        <f>HYPERLINK("https://klasma.github.io/Logging_1263/artfynd/A 15571-2024 artfynd.xlsx", "A 15571-2024")</f>
        <v/>
      </c>
      <c r="X22">
        <f>HYPERLINK("https://klasma.github.io/Logging_1263/kartor/A 15571-2024 karta.png", "A 15571-2024")</f>
        <v/>
      </c>
      <c r="Y22">
        <f>HYPERLINK("https://klasma.github.io/Logging_1263/kartor_geotiff/A 15571-2024 georefererad karta.tif", "A 15571-2024")</f>
        <v/>
      </c>
      <c r="AA22">
        <f>HYPERLINK("https://klasma.github.io/Logging_1263/klagomål/A 15571-2024 FSC-klagomål.docx", "A 15571-2024")</f>
        <v/>
      </c>
      <c r="AB22">
        <f>HYPERLINK("https://klasma.github.io/Logging_1263/klagomålsmail/A 15571-2024 FSC-klagomål mail.docx", "A 15571-2024")</f>
        <v/>
      </c>
      <c r="AC22">
        <f>HYPERLINK("https://klasma.github.io/Logging_1263/tillsyn/A 15571-2024 tillsynsbegäran.docx", "A 15571-2024")</f>
        <v/>
      </c>
      <c r="AD22">
        <f>HYPERLINK("https://klasma.github.io/Logging_1263/tillsynsmail/A 15571-2024 tillsynsbegäran mail.docx", "A 15571-2024")</f>
        <v/>
      </c>
    </row>
    <row r="23" ht="15" customHeight="1">
      <c r="A23" t="inlineStr">
        <is>
          <t>A 15582-2024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45401</v>
      </c>
      <c r="E23" s="1" t="n">
        <v>46318</v>
      </c>
      <c r="F23" t="inlineStr">
        <is>
          <t>SKÅNE LÄN</t>
        </is>
      </c>
      <c r="G23" t="inlineStr">
        <is>
          <t>SVEDALA</t>
        </is>
      </c>
      <c r="I23" t="n">
        <v>7.3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Trana</t>
        </is>
      </c>
      <c r="W23">
        <f>HYPERLINK("https://klasma.github.io/Logging_1263/artfynd/A 15582-2024 artfynd.xlsx", "A 15582-2024")</f>
        <v/>
      </c>
      <c r="X23">
        <f>HYPERLINK("https://klasma.github.io/Logging_1263/kartor/A 15582-2024 karta.png", "A 15582-2024")</f>
        <v/>
      </c>
      <c r="Y23">
        <f>HYPERLINK("https://klasma.github.io/Logging_1263/kartor_geotiff/A 15582-2024 georefererad karta.tif", "A 15582-2024")</f>
        <v/>
      </c>
      <c r="AA23">
        <f>HYPERLINK("https://klasma.github.io/Logging_1263/klagomål/A 15582-2024 FSC-klagomål.docx", "A 15582-2024")</f>
        <v/>
      </c>
      <c r="AB23">
        <f>HYPERLINK("https://klasma.github.io/Logging_1263/klagomålsmail/A 15582-2024 FSC-klagomål mail.docx", "A 15582-2024")</f>
        <v/>
      </c>
      <c r="AC23">
        <f>HYPERLINK("https://klasma.github.io/Logging_1263/tillsyn/A 15582-2024 tillsynsbegäran.docx", "A 15582-2024")</f>
        <v/>
      </c>
      <c r="AD23">
        <f>HYPERLINK("https://klasma.github.io/Logging_1263/tillsynsmail/A 15582-2024 tillsynsbegäran mail.docx", "A 15582-2024")</f>
        <v/>
      </c>
      <c r="AE23">
        <f>HYPERLINK("https://klasma.github.io/Logging_1263/fåglar/A 15582-2024 prioriterade fågelarter.docx", "A 15582-2024")</f>
        <v/>
      </c>
    </row>
    <row r="24" ht="15" customHeight="1">
      <c r="A24" t="inlineStr">
        <is>
          <t>A 38846-2026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46286</v>
      </c>
      <c r="E24" s="1" t="n">
        <v>46318</v>
      </c>
      <c r="F24" t="inlineStr">
        <is>
          <t>SKÅNE LÄN</t>
        </is>
      </c>
      <c r="G24" t="inlineStr">
        <is>
          <t>SVEDALA</t>
        </is>
      </c>
      <c r="I24" t="n">
        <v>0.9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s="2" t="inlineStr">
        <is>
          <t>Buskvicker</t>
        </is>
      </c>
      <c r="W24">
        <f>HYPERLINK("https://klasma.github.io/Logging_1263/artfynd/A 38846-2026 artfynd.xlsx", "A 38846-2026")</f>
        <v/>
      </c>
      <c r="X24">
        <f>HYPERLINK("https://klasma.github.io/Logging_1263/kartor/A 38846-2026 karta.png", "A 38846-2026")</f>
        <v/>
      </c>
      <c r="Y24">
        <f>HYPERLINK("https://klasma.github.io/Logging_1263/kartor_geotiff/A 38846-2026 georefererad karta.tif", "A 38846-2026")</f>
        <v/>
      </c>
      <c r="AA24">
        <f>HYPERLINK("https://klasma.github.io/Logging_1263/klagomål/A 38846-2026 FSC-klagomål.docx", "A 38846-2026")</f>
        <v/>
      </c>
      <c r="AB24">
        <f>HYPERLINK("https://klasma.github.io/Logging_1263/klagomålsmail/A 38846-2026 FSC-klagomål mail.docx", "A 38846-2026")</f>
        <v/>
      </c>
      <c r="AC24">
        <f>HYPERLINK("https://klasma.github.io/Logging_1263/tillsyn/A 38846-2026 tillsynsbegäran.docx", "A 38846-2026")</f>
        <v/>
      </c>
      <c r="AD24">
        <f>HYPERLINK("https://klasma.github.io/Logging_1263/tillsynsmail/A 38846-2026 tillsynsbegäran mail.docx", "A 38846-2026")</f>
        <v/>
      </c>
    </row>
    <row r="25" ht="15" customHeight="1">
      <c r="A25" t="inlineStr">
        <is>
          <t>A 16684-2023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45030</v>
      </c>
      <c r="E25" s="1" t="n">
        <v>46318</v>
      </c>
      <c r="F25" t="inlineStr">
        <is>
          <t>SKÅNE LÄN</t>
        </is>
      </c>
      <c r="G25" t="inlineStr">
        <is>
          <t>SVEDALA</t>
        </is>
      </c>
      <c r="I25" t="n">
        <v>6.1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2</v>
      </c>
      <c r="U25" t="n">
        <v>0</v>
      </c>
      <c r="V25" s="2" t="inlineStr">
        <is>
          <t>Större grynsnäcka</t>
        </is>
      </c>
      <c r="W25">
        <f>HYPERLINK("https://klasma.github.io/Logging_1263/artfynd/A 16684-2023 artfynd.xlsx", "A 16684-2023")</f>
        <v/>
      </c>
      <c r="X25">
        <f>HYPERLINK("https://klasma.github.io/Logging_1263/kartor/A 16684-2023 karta.png", "A 16684-2023")</f>
        <v/>
      </c>
      <c r="Y25">
        <f>HYPERLINK("https://klasma.github.io/Logging_1263/kartor_geotiff/A 16684-2023 georefererad karta.tif", "A 16684-2023")</f>
        <v/>
      </c>
      <c r="AA25">
        <f>HYPERLINK("https://klasma.github.io/Logging_1263/klagomål/A 16684-2023 FSC-klagomål.docx", "A 16684-2023")</f>
        <v/>
      </c>
      <c r="AB25">
        <f>HYPERLINK("https://klasma.github.io/Logging_1263/klagomålsmail/A 16684-2023 FSC-klagomål mail.docx", "A 16684-2023")</f>
        <v/>
      </c>
      <c r="AC25">
        <f>HYPERLINK("https://klasma.github.io/Logging_1263/tillsyn/A 16684-2023 tillsynsbegäran.docx", "A 16684-2023")</f>
        <v/>
      </c>
      <c r="AD25">
        <f>HYPERLINK("https://klasma.github.io/Logging_1263/tillsynsmail/A 16684-2023 tillsynsbegäran mail.docx", "A 16684-2023")</f>
        <v/>
      </c>
    </row>
    <row r="26" ht="15" customHeight="1">
      <c r="A26" t="inlineStr">
        <is>
          <t>A 25054-2026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46174</v>
      </c>
      <c r="E26" s="1" t="n">
        <v>46318</v>
      </c>
      <c r="F26" t="inlineStr">
        <is>
          <t>SKÅNE LÄN</t>
        </is>
      </c>
      <c r="G26" t="inlineStr">
        <is>
          <t>SVEDALA</t>
        </is>
      </c>
      <c r="I26" t="n">
        <v>3.8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Fransig jordstjärna</t>
        </is>
      </c>
      <c r="W26">
        <f>HYPERLINK("https://klasma.github.io/Logging_1263/artfynd/A 25054-2026 artfynd.xlsx", "A 25054-2026")</f>
        <v/>
      </c>
      <c r="X26">
        <f>HYPERLINK("https://klasma.github.io/Logging_1263/kartor/A 25054-2026 karta.png", "A 25054-2026")</f>
        <v/>
      </c>
      <c r="Y26">
        <f>HYPERLINK("https://klasma.github.io/Logging_1263/kartor_geotiff/A 25054-2026 georefererad karta.tif", "A 25054-2026")</f>
        <v/>
      </c>
      <c r="AA26">
        <f>HYPERLINK("https://klasma.github.io/Logging_1263/klagomål/A 25054-2026 FSC-klagomål.docx", "A 25054-2026")</f>
        <v/>
      </c>
      <c r="AB26">
        <f>HYPERLINK("https://klasma.github.io/Logging_1263/klagomålsmail/A 25054-2026 FSC-klagomål mail.docx", "A 25054-2026")</f>
        <v/>
      </c>
      <c r="AC26">
        <f>HYPERLINK("https://klasma.github.io/Logging_1263/tillsyn/A 25054-2026 tillsynsbegäran.docx", "A 25054-2026")</f>
        <v/>
      </c>
      <c r="AD26">
        <f>HYPERLINK("https://klasma.github.io/Logging_1263/tillsynsmail/A 25054-2026 tillsynsbegäran mail.docx", "A 25054-2026")</f>
        <v/>
      </c>
    </row>
    <row r="27" ht="15" customHeight="1">
      <c r="A27" t="inlineStr">
        <is>
          <t>A 42218-2026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46306</v>
      </c>
      <c r="E27" s="1" t="n">
        <v>46318</v>
      </c>
      <c r="F27" t="inlineStr">
        <is>
          <t>SKÅNE LÄN</t>
        </is>
      </c>
      <c r="G27" t="inlineStr">
        <is>
          <t>SVEDALA</t>
        </is>
      </c>
      <c r="I27" t="n">
        <v>0.9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s="2" t="inlineStr">
        <is>
          <t>Buskvicker</t>
        </is>
      </c>
      <c r="W27">
        <f>HYPERLINK("https://klasma.github.io/Logging_1263/artfynd/A 42218-2026 artfynd.xlsx", "A 42218-2026")</f>
        <v/>
      </c>
      <c r="X27">
        <f>HYPERLINK("https://klasma.github.io/Logging_1263/kartor/A 42218-2026 karta.png", "A 42218-2026")</f>
        <v/>
      </c>
      <c r="Y27">
        <f>HYPERLINK("https://klasma.github.io/Logging_1263/kartor_geotiff/A 42218-2026 georefererad karta.tif", "A 42218-2026")</f>
        <v/>
      </c>
      <c r="AA27">
        <f>HYPERLINK("https://klasma.github.io/Logging_1263/klagomål/A 42218-2026 FSC-klagomål.docx", "A 42218-2026")</f>
        <v/>
      </c>
      <c r="AB27">
        <f>HYPERLINK("https://klasma.github.io/Logging_1263/klagomålsmail/A 42218-2026 FSC-klagomål mail.docx", "A 42218-2026")</f>
        <v/>
      </c>
      <c r="AC27">
        <f>HYPERLINK("https://klasma.github.io/Logging_1263/tillsyn/A 42218-2026 tillsynsbegäran.docx", "A 42218-2026")</f>
        <v/>
      </c>
      <c r="AD27">
        <f>HYPERLINK("https://klasma.github.io/Logging_1263/tillsynsmail/A 42218-2026 tillsynsbegäran mail.docx", "A 42218-2026")</f>
        <v/>
      </c>
    </row>
    <row r="28" ht="15" customHeight="1">
      <c r="A28" t="inlineStr">
        <is>
          <t>S 1996-2026</t>
        </is>
      </c>
      <c r="B28" t="inlineStr">
        <is>
          <t>samrådsanmälan</t>
        </is>
      </c>
      <c r="C28" t="inlineStr">
        <is>
          <t>Askåterföring</t>
        </is>
      </c>
      <c r="D28" s="1" t="n">
        <v>46213</v>
      </c>
      <c r="E28" s="1" t="n">
        <v>46318</v>
      </c>
      <c r="F28" t="inlineStr">
        <is>
          <t>SKÅNE LÄN</t>
        </is>
      </c>
      <c r="G28" t="inlineStr">
        <is>
          <t>SVEDALA</t>
        </is>
      </c>
      <c r="I28" t="n">
        <v>6.3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s="2" t="inlineStr">
        <is>
          <t>Stare</t>
        </is>
      </c>
      <c r="W28">
        <f>HYPERLINK("https://klasma.github.io/Logging_1263/artfynd/S 1996-2026 artfynd.xlsx", "S 1996-2026")</f>
        <v/>
      </c>
      <c r="X28">
        <f>HYPERLINK("https://klasma.github.io/Logging_1263/kartor/S 1996-2026 karta.png", "S 1996-2026")</f>
        <v/>
      </c>
      <c r="Y28">
        <f>HYPERLINK("https://klasma.github.io/Logging_1263/kartor_geotiff/S 1996-2026 georefererad karta.tif", "S 1996-2026")</f>
        <v/>
      </c>
      <c r="AA28">
        <f>HYPERLINK("https://klasma.github.io/Logging_1263/klagomål/S 1996-2026 FSC-klagomål.docx", "S 1996-2026")</f>
        <v/>
      </c>
      <c r="AB28">
        <f>HYPERLINK("https://klasma.github.io/Logging_1263/klagomålsmail/S 1996-2026 FSC-klagomål mail.docx", "S 1996-2026")</f>
        <v/>
      </c>
      <c r="AC28">
        <f>HYPERLINK("https://klasma.github.io/Logging_1263/tillsyn/S 1996-2026 tillsynsbegäran.docx", "S 1996-2026")</f>
        <v/>
      </c>
      <c r="AD28">
        <f>HYPERLINK("https://klasma.github.io/Logging_1263/tillsynsmail/S 1996-2026 tillsynsbegäran mail.docx", "S 1996-2026")</f>
        <v/>
      </c>
      <c r="AE28">
        <f>HYPERLINK("https://klasma.github.io/Logging_1263/fåglar/S 1996-2026 prioriterade fågelarter.docx", "S 1996-2026")</f>
        <v/>
      </c>
    </row>
    <row r="29" ht="15" customHeight="1">
      <c r="A29" t="inlineStr">
        <is>
          <t>A 21072-2022</t>
        </is>
      </c>
      <c r="B29" t="inlineStr">
        <is>
          <t>avverkningsanmälan</t>
        </is>
      </c>
      <c r="C29" t="inlineStr">
        <is>
          <t>Avverkning för annat ändamål</t>
        </is>
      </c>
      <c r="D29" s="1" t="n">
        <v>44704</v>
      </c>
      <c r="E29" s="1" t="n">
        <v>46318</v>
      </c>
      <c r="F29" t="inlineStr">
        <is>
          <t>SKÅNE LÄN</t>
        </is>
      </c>
      <c r="G29" t="inlineStr">
        <is>
          <t>SVEDALA</t>
        </is>
      </c>
      <c r="I29" t="n">
        <v>3.9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29030-2023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45104</v>
      </c>
      <c r="E30" s="1" t="n">
        <v>46318</v>
      </c>
      <c r="F30" t="inlineStr">
        <is>
          <t>SKÅNE LÄN</t>
        </is>
      </c>
      <c r="G30" t="inlineStr">
        <is>
          <t>SVEDALA</t>
        </is>
      </c>
      <c r="I30" t="n">
        <v>8.1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31693-2023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45117</v>
      </c>
      <c r="E31" s="1" t="n">
        <v>46318</v>
      </c>
      <c r="F31" t="inlineStr">
        <is>
          <t>SKÅNE LÄN</t>
        </is>
      </c>
      <c r="G31" t="inlineStr">
        <is>
          <t>SVEDALA</t>
        </is>
      </c>
      <c r="I31" t="n">
        <v>4.1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15577-2024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45401</v>
      </c>
      <c r="E32" s="1" t="n">
        <v>46318</v>
      </c>
      <c r="F32" t="inlineStr">
        <is>
          <t>SKÅNE LÄN</t>
        </is>
      </c>
      <c r="G32" t="inlineStr">
        <is>
          <t>SVEDALA</t>
        </is>
      </c>
      <c r="I32" t="n">
        <v>1.9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19268-2024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45428</v>
      </c>
      <c r="E33" s="1" t="n">
        <v>46318</v>
      </c>
      <c r="F33" t="inlineStr">
        <is>
          <t>SKÅNE LÄN</t>
        </is>
      </c>
      <c r="G33" t="inlineStr">
        <is>
          <t>SVEDALA</t>
        </is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31701-2023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45117</v>
      </c>
      <c r="E34" s="1" t="n">
        <v>46318</v>
      </c>
      <c r="F34" t="inlineStr">
        <is>
          <t>SKÅNE LÄN</t>
        </is>
      </c>
      <c r="G34" t="inlineStr">
        <is>
          <t>SVEDALA</t>
        </is>
      </c>
      <c r="I34" t="n">
        <v>0.7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27113-2022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44741</v>
      </c>
      <c r="E35" s="1" t="n">
        <v>46318</v>
      </c>
      <c r="F35" t="inlineStr">
        <is>
          <t>SKÅNE LÄN</t>
        </is>
      </c>
      <c r="G35" t="inlineStr">
        <is>
          <t>SVEDALA</t>
        </is>
      </c>
      <c r="I35" t="n">
        <v>8.9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16199-2024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45406</v>
      </c>
      <c r="E36" s="1" t="n">
        <v>46318</v>
      </c>
      <c r="F36" t="inlineStr">
        <is>
          <t>SKÅNE LÄN</t>
        </is>
      </c>
      <c r="G36" t="inlineStr">
        <is>
          <t>SVEDALA</t>
        </is>
      </c>
      <c r="I36" t="n">
        <v>13.5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13344-2023</t>
        </is>
      </c>
      <c r="B37" t="inlineStr">
        <is>
          <t>avverkningsanmälan</t>
        </is>
      </c>
      <c r="C37" t="inlineStr">
        <is>
          <t>Avverkning för annat ändamål</t>
        </is>
      </c>
      <c r="D37" s="1" t="n">
        <v>45005</v>
      </c>
      <c r="E37" s="1" t="n">
        <v>46318</v>
      </c>
      <c r="F37" t="inlineStr">
        <is>
          <t>SKÅNE LÄN</t>
        </is>
      </c>
      <c r="G37" t="inlineStr">
        <is>
          <t>SVEDALA</t>
        </is>
      </c>
      <c r="I37" t="n">
        <v>1.1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19190-2023</t>
        </is>
      </c>
      <c r="B38" t="inlineStr">
        <is>
          <t>avverkningsanmälan</t>
        </is>
      </c>
      <c r="C38" t="inlineStr">
        <is>
          <t>Avverkning för annat ändamål</t>
        </is>
      </c>
      <c r="D38" s="1" t="n">
        <v>45048</v>
      </c>
      <c r="E38" s="1" t="n">
        <v>46318</v>
      </c>
      <c r="F38" t="inlineStr">
        <is>
          <t>SKÅNE LÄN</t>
        </is>
      </c>
      <c r="G38" t="inlineStr">
        <is>
          <t>SVEDALA</t>
        </is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64060-2025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46021</v>
      </c>
      <c r="E39" s="1" t="n">
        <v>46318</v>
      </c>
      <c r="F39" t="inlineStr">
        <is>
          <t>SKÅNE LÄN</t>
        </is>
      </c>
      <c r="G39" t="inlineStr">
        <is>
          <t>SVEDALA</t>
        </is>
      </c>
      <c r="I39" t="n">
        <v>6.4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54284-2023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45232</v>
      </c>
      <c r="E40" s="1" t="n">
        <v>46318</v>
      </c>
      <c r="F40" t="inlineStr">
        <is>
          <t>SKÅNE LÄN</t>
        </is>
      </c>
      <c r="G40" t="inlineStr">
        <is>
          <t>SVEDALA</t>
        </is>
      </c>
      <c r="I40" t="n">
        <v>2.2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67456-2021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44524</v>
      </c>
      <c r="E41" s="1" t="n">
        <v>46318</v>
      </c>
      <c r="F41" t="inlineStr">
        <is>
          <t>SKÅNE LÄN</t>
        </is>
      </c>
      <c r="G41" t="inlineStr">
        <is>
          <t>SVEDALA</t>
        </is>
      </c>
      <c r="I41" t="n">
        <v>8.1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51318-2025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45950</v>
      </c>
      <c r="E42" s="1" t="n">
        <v>46318</v>
      </c>
      <c r="F42" t="inlineStr">
        <is>
          <t>SKÅNE LÄN</t>
        </is>
      </c>
      <c r="G42" t="inlineStr">
        <is>
          <t>SVEDALA</t>
        </is>
      </c>
      <c r="I42" t="n">
        <v>2.8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56202-2023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45240</v>
      </c>
      <c r="E43" s="1" t="n">
        <v>46318</v>
      </c>
      <c r="F43" t="inlineStr">
        <is>
          <t>SKÅNE LÄN</t>
        </is>
      </c>
      <c r="G43" t="inlineStr">
        <is>
          <t>SVEDALA</t>
        </is>
      </c>
      <c r="I43" t="n">
        <v>2.8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16690-2023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45030</v>
      </c>
      <c r="E44" s="1" t="n">
        <v>46318</v>
      </c>
      <c r="F44" t="inlineStr">
        <is>
          <t>SKÅNE LÄN</t>
        </is>
      </c>
      <c r="G44" t="inlineStr">
        <is>
          <t>SVEDALA</t>
        </is>
      </c>
      <c r="I44" t="n">
        <v>0.9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64055-2025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46021</v>
      </c>
      <c r="E45" s="1" t="n">
        <v>46318</v>
      </c>
      <c r="F45" t="inlineStr">
        <is>
          <t>SKÅNE LÄN</t>
        </is>
      </c>
      <c r="G45" t="inlineStr">
        <is>
          <t>SVEDALA</t>
        </is>
      </c>
      <c r="I45" t="n">
        <v>0.9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64058-2025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46021</v>
      </c>
      <c r="E46" s="1" t="n">
        <v>46318</v>
      </c>
      <c r="F46" t="inlineStr">
        <is>
          <t>SKÅNE LÄN</t>
        </is>
      </c>
      <c r="G46" t="inlineStr">
        <is>
          <t>SVEDALA</t>
        </is>
      </c>
      <c r="I46" t="n">
        <v>1.4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64051-2025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46021</v>
      </c>
      <c r="E47" s="1" t="n">
        <v>46318</v>
      </c>
      <c r="F47" t="inlineStr">
        <is>
          <t>SKÅNE LÄN</t>
        </is>
      </c>
      <c r="G47" t="inlineStr">
        <is>
          <t>SVEDALA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64049-2025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46021</v>
      </c>
      <c r="E48" s="1" t="n">
        <v>46318</v>
      </c>
      <c r="F48" t="inlineStr">
        <is>
          <t>SKÅNE LÄN</t>
        </is>
      </c>
      <c r="G48" t="inlineStr">
        <is>
          <t>SVEDALA</t>
        </is>
      </c>
      <c r="I48" t="n">
        <v>0.8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18888-2024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45427</v>
      </c>
      <c r="E49" s="1" t="n">
        <v>46318</v>
      </c>
      <c r="F49" t="inlineStr">
        <is>
          <t>SKÅNE LÄN</t>
        </is>
      </c>
      <c r="G49" t="inlineStr">
        <is>
          <t>SVEDALA</t>
        </is>
      </c>
      <c r="I49" t="n">
        <v>3.5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27844-2026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46191</v>
      </c>
      <c r="E50" s="1" t="n">
        <v>46318</v>
      </c>
      <c r="F50" t="inlineStr">
        <is>
          <t>SKÅNE LÄN</t>
        </is>
      </c>
      <c r="G50" t="inlineStr">
        <is>
          <t>SVEDALA</t>
        </is>
      </c>
      <c r="I50" t="n">
        <v>3.4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25275-2026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46176</v>
      </c>
      <c r="E51" s="1" t="n">
        <v>46318</v>
      </c>
      <c r="F51" t="inlineStr">
        <is>
          <t>SKÅNE LÄN</t>
        </is>
      </c>
      <c r="G51" t="inlineStr">
        <is>
          <t>SVEDALA</t>
        </is>
      </c>
      <c r="I51" t="n">
        <v>2.9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59432-2022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44907</v>
      </c>
      <c r="E52" s="1" t="n">
        <v>46318</v>
      </c>
      <c r="F52" t="inlineStr">
        <is>
          <t>SKÅNE LÄN</t>
        </is>
      </c>
      <c r="G52" t="inlineStr">
        <is>
          <t>SVEDALA</t>
        </is>
      </c>
      <c r="I52" t="n">
        <v>5.1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25603-2024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45463</v>
      </c>
      <c r="E53" s="1" t="n">
        <v>46318</v>
      </c>
      <c r="F53" t="inlineStr">
        <is>
          <t>SKÅNE LÄN</t>
        </is>
      </c>
      <c r="G53" t="inlineStr">
        <is>
          <t>SVEDALA</t>
        </is>
      </c>
      <c r="I53" t="n">
        <v>1.8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38844-2026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46286</v>
      </c>
      <c r="E54" s="1" t="n">
        <v>46318</v>
      </c>
      <c r="F54" t="inlineStr">
        <is>
          <t>SKÅNE LÄN</t>
        </is>
      </c>
      <c r="G54" t="inlineStr">
        <is>
          <t>SVEDALA</t>
        </is>
      </c>
      <c r="I54" t="n">
        <v>2.9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38845-2026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46286</v>
      </c>
      <c r="E55" s="1" t="n">
        <v>46318</v>
      </c>
      <c r="F55" t="inlineStr">
        <is>
          <t>SKÅNE LÄN</t>
        </is>
      </c>
      <c r="G55" t="inlineStr">
        <is>
          <t>SVEDALA</t>
        </is>
      </c>
      <c r="I55" t="n">
        <v>1.8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38842-2026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46286</v>
      </c>
      <c r="E56" s="1" t="n">
        <v>46318</v>
      </c>
      <c r="F56" t="inlineStr">
        <is>
          <t>SKÅNE LÄN</t>
        </is>
      </c>
      <c r="G56" t="inlineStr">
        <is>
          <t>SVEDALA</t>
        </is>
      </c>
      <c r="I56" t="n">
        <v>0.7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38841-2026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46286</v>
      </c>
      <c r="E57" s="1" t="n">
        <v>46318</v>
      </c>
      <c r="F57" t="inlineStr">
        <is>
          <t>SKÅNE LÄN</t>
        </is>
      </c>
      <c r="G57" t="inlineStr">
        <is>
          <t>SVEDALA</t>
        </is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38847-2026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46286</v>
      </c>
      <c r="E58" s="1" t="n">
        <v>46318</v>
      </c>
      <c r="F58" t="inlineStr">
        <is>
          <t>SKÅNE LÄN</t>
        </is>
      </c>
      <c r="G58" t="inlineStr">
        <is>
          <t>SVEDALA</t>
        </is>
      </c>
      <c r="I58" t="n">
        <v>0.4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57798-2022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44897</v>
      </c>
      <c r="E59" s="1" t="n">
        <v>46318</v>
      </c>
      <c r="F59" t="inlineStr">
        <is>
          <t>SKÅNE LÄN</t>
        </is>
      </c>
      <c r="G59" t="inlineStr">
        <is>
          <t>SVEDALA</t>
        </is>
      </c>
      <c r="I59" t="n">
        <v>8.9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57803-2022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44897</v>
      </c>
      <c r="E60" s="1" t="n">
        <v>46318</v>
      </c>
      <c r="F60" t="inlineStr">
        <is>
          <t>SKÅNE LÄN</t>
        </is>
      </c>
      <c r="G60" t="inlineStr">
        <is>
          <t>SVEDALA</t>
        </is>
      </c>
      <c r="I60" t="n">
        <v>1.8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54282-2023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45232</v>
      </c>
      <c r="E61" s="1" t="n">
        <v>46318</v>
      </c>
      <c r="F61" t="inlineStr">
        <is>
          <t>SKÅNE LÄN</t>
        </is>
      </c>
      <c r="G61" t="inlineStr">
        <is>
          <t>SVEDALA</t>
        </is>
      </c>
      <c r="I61" t="n">
        <v>1.8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26073-2026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46181</v>
      </c>
      <c r="E62" s="1" t="n">
        <v>46318</v>
      </c>
      <c r="F62" t="inlineStr">
        <is>
          <t>SKÅNE LÄN</t>
        </is>
      </c>
      <c r="G62" t="inlineStr">
        <is>
          <t>SVEDALA</t>
        </is>
      </c>
      <c r="I62" t="n">
        <v>7.3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26080-2026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46181</v>
      </c>
      <c r="E63" s="1" t="n">
        <v>46318</v>
      </c>
      <c r="F63" t="inlineStr">
        <is>
          <t>SKÅNE LÄN</t>
        </is>
      </c>
      <c r="G63" t="inlineStr">
        <is>
          <t>SVEDALA</t>
        </is>
      </c>
      <c r="I63" t="n">
        <v>3.4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54580-2023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45233</v>
      </c>
      <c r="E64" s="1" t="n">
        <v>46318</v>
      </c>
      <c r="F64" t="inlineStr">
        <is>
          <t>SKÅNE LÄN</t>
        </is>
      </c>
      <c r="G64" t="inlineStr">
        <is>
          <t>SVEDALA</t>
        </is>
      </c>
      <c r="I64" t="n">
        <v>0.5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54280-2023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45232</v>
      </c>
      <c r="E65" s="1" t="n">
        <v>46318</v>
      </c>
      <c r="F65" t="inlineStr">
        <is>
          <t>SKÅNE LÄN</t>
        </is>
      </c>
      <c r="G65" t="inlineStr">
        <is>
          <t>SVEDALA</t>
        </is>
      </c>
      <c r="I65" t="n">
        <v>1.4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15277-2024</t>
        </is>
      </c>
      <c r="B66" t="inlineStr">
        <is>
          <t>avverkningsanmälan</t>
        </is>
      </c>
      <c r="C66" t="inlineStr">
        <is>
          <t>Avverkning för annat ändamål</t>
        </is>
      </c>
      <c r="D66" s="1" t="n">
        <v>45400</v>
      </c>
      <c r="E66" s="1" t="n">
        <v>46318</v>
      </c>
      <c r="F66" t="inlineStr">
        <is>
          <t>SKÅNE LÄN</t>
        </is>
      </c>
      <c r="G66" t="inlineStr">
        <is>
          <t>SVEDALA</t>
        </is>
      </c>
      <c r="I66" t="n">
        <v>1.3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S 1997-2026</t>
        </is>
      </c>
      <c r="B67" t="inlineStr">
        <is>
          <t>samrådsanmälan</t>
        </is>
      </c>
      <c r="C67" t="inlineStr">
        <is>
          <t>Askåterföring</t>
        </is>
      </c>
      <c r="D67" s="1" t="n">
        <v>46213</v>
      </c>
      <c r="E67" s="1" t="n">
        <v>46318</v>
      </c>
      <c r="F67" t="inlineStr">
        <is>
          <t>SKÅNE LÄN</t>
        </is>
      </c>
      <c r="G67" t="inlineStr">
        <is>
          <t>SVEDALA</t>
        </is>
      </c>
      <c r="I67" t="n">
        <v>1.8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>
      <c r="A68" t="inlineStr">
        <is>
          <t>S 1995-2026</t>
        </is>
      </c>
      <c r="B68" t="inlineStr">
        <is>
          <t>samrådsanmälan</t>
        </is>
      </c>
      <c r="C68" t="inlineStr">
        <is>
          <t>Askåterföring</t>
        </is>
      </c>
      <c r="D68" s="1" t="n">
        <v>46213</v>
      </c>
      <c r="E68" s="1" t="n">
        <v>46318</v>
      </c>
      <c r="F68" t="inlineStr">
        <is>
          <t>SKÅNE LÄN</t>
        </is>
      </c>
      <c r="G68" t="inlineStr">
        <is>
          <t>SVEDALA</t>
        </is>
      </c>
      <c r="I68" t="n">
        <v>1.8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2026-10-23T01:59:56Z</dcterms:created>
  <dcterms:modified xmlns:dcterms="http://purl.org/dc/terms/" xmlns:xsi="http://www.w3.org/2001/XMLSchema-instance" xsi:type="dcterms:W3CDTF">2026-10-23T01:59:56Z</dcterms:modified>
</cp:coreProperties>
</file>