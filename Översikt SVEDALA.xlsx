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46298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46298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46298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46298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46298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46298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46298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46298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46298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46298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46298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46298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46298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46298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46298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46298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46298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46298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46298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46298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46298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46298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46298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46298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A 15582-2024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46298</v>
      </c>
      <c r="F26" t="inlineStr">
        <is>
          <t>SKÅNE LÄN</t>
        </is>
      </c>
      <c r="G26" t="inlineStr">
        <is>
          <t>SVEDALA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Trana</t>
        </is>
      </c>
      <c r="W26">
        <f>HYPERLINK("https://klasma.github.io/Logging_1263/artfynd/A 15582-2024 artfynd.xlsx", "A 15582-2024")</f>
        <v/>
      </c>
      <c r="X26">
        <f>HYPERLINK("https://klasma.github.io/Logging_1263/kartor/A 15582-2024 karta.png", "A 15582-2024")</f>
        <v/>
      </c>
      <c r="Y26">
        <f>HYPERLINK("https://klasma.github.io/Logging_1263/kartor_geotiff/A 15582-2024 georefererad karta.tif", "A 15582-2024")</f>
        <v/>
      </c>
      <c r="AA26">
        <f>HYPERLINK("https://klasma.github.io/Logging_1263/klagomål/A 15582-2024 FSC-klagomål.docx", "A 15582-2024")</f>
        <v/>
      </c>
      <c r="AB26">
        <f>HYPERLINK("https://klasma.github.io/Logging_1263/klagomålsmail/A 15582-2024 FSC-klagomål mail.docx", "A 15582-2024")</f>
        <v/>
      </c>
      <c r="AC26">
        <f>HYPERLINK("https://klasma.github.io/Logging_1263/tillsyn/A 15582-2024 tillsynsbegäran.docx", "A 15582-2024")</f>
        <v/>
      </c>
      <c r="AD26">
        <f>HYPERLINK("https://klasma.github.io/Logging_1263/tillsynsmail/A 15582-2024 tillsynsbegäran mail.docx", "A 15582-2024")</f>
        <v/>
      </c>
      <c r="AE26">
        <f>HYPERLINK("https://klasma.github.io/Logging_1263/fåglar/A 15582-2024 prioriterade fågelarter.docx", "A 15582-2024")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46298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46298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46298</v>
      </c>
      <c r="F29" t="inlineStr">
        <is>
          <t>SKÅNE LÄN</t>
        </is>
      </c>
      <c r="G29" t="inlineStr">
        <is>
          <t>SVEDALA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46298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46298</v>
      </c>
      <c r="F31" t="inlineStr">
        <is>
          <t>SKÅNE LÄN</t>
        </is>
      </c>
      <c r="G31" t="inlineStr">
        <is>
          <t>SVEDALA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46298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56202-2023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46298</v>
      </c>
      <c r="F33" t="inlineStr">
        <is>
          <t>SKÅNE LÄN</t>
        </is>
      </c>
      <c r="G33" t="inlineStr">
        <is>
          <t>SVEDALA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46298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46298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46298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46298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46298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25603-2024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45463</v>
      </c>
      <c r="E39" s="1" t="n">
        <v>46298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46298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46298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46298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46298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46298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46298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45400</v>
      </c>
      <c r="E46" s="1" t="n">
        <v>46298</v>
      </c>
      <c r="F46" t="inlineStr">
        <is>
          <t>SKÅNE LÄN</t>
        </is>
      </c>
      <c r="G46" t="inlineStr">
        <is>
          <t>SVEDALA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46298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38844-2026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46286</v>
      </c>
      <c r="E48" s="1" t="n">
        <v>46298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46298</v>
      </c>
      <c r="F49" t="inlineStr">
        <is>
          <t>SKÅNE LÄN</t>
        </is>
      </c>
      <c r="G49" t="inlineStr">
        <is>
          <t>SVEDALA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45117</v>
      </c>
      <c r="E50" s="1" t="n">
        <v>46298</v>
      </c>
      <c r="F50" t="inlineStr">
        <is>
          <t>SKÅNE LÄN</t>
        </is>
      </c>
      <c r="G50" t="inlineStr">
        <is>
          <t>SVEDALA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46286</v>
      </c>
      <c r="E51" s="1" t="n">
        <v>46298</v>
      </c>
      <c r="F51" t="inlineStr">
        <is>
          <t>SKÅNE LÄN</t>
        </is>
      </c>
      <c r="G51" t="inlineStr">
        <is>
          <t>SVEDALA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46298</v>
      </c>
      <c r="F52" t="inlineStr">
        <is>
          <t>SKÅNE LÄN</t>
        </is>
      </c>
      <c r="G52" t="inlineStr">
        <is>
          <t>SVEDALA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46298</v>
      </c>
      <c r="F53" t="inlineStr">
        <is>
          <t>SKÅNE LÄN</t>
        </is>
      </c>
      <c r="G53" t="inlineStr">
        <is>
          <t>SVEDALA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46298</v>
      </c>
      <c r="F54" t="inlineStr">
        <is>
          <t>SKÅNE LÄN</t>
        </is>
      </c>
      <c r="G54" t="inlineStr">
        <is>
          <t>SVEDALA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46298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46298</v>
      </c>
      <c r="F56" t="inlineStr">
        <is>
          <t>SKÅNE LÄN</t>
        </is>
      </c>
      <c r="G56" t="inlineStr">
        <is>
          <t>SVEDALA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46298</v>
      </c>
      <c r="F57" t="inlineStr">
        <is>
          <t>SKÅNE LÄN</t>
        </is>
      </c>
      <c r="G57" t="inlineStr">
        <is>
          <t>SVEDALA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44741</v>
      </c>
      <c r="E58" s="1" t="n">
        <v>46298</v>
      </c>
      <c r="F58" t="inlineStr">
        <is>
          <t>SKÅNE LÄN</t>
        </is>
      </c>
      <c r="G58" t="inlineStr">
        <is>
          <t>SVEDALA</t>
        </is>
      </c>
      <c r="I58" t="n">
        <v>8.9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46298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46298</v>
      </c>
      <c r="F60" t="inlineStr">
        <is>
          <t>SKÅNE LÄN</t>
        </is>
      </c>
      <c r="G60" t="inlineStr">
        <is>
          <t>SVEDALA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45005</v>
      </c>
      <c r="E61" s="1" t="n">
        <v>46298</v>
      </c>
      <c r="F61" t="inlineStr">
        <is>
          <t>SKÅNE LÄN</t>
        </is>
      </c>
      <c r="G61" t="inlineStr">
        <is>
          <t>SVEDALA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19190-2023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45048</v>
      </c>
      <c r="E62" s="1" t="n">
        <v>46298</v>
      </c>
      <c r="F62" t="inlineStr">
        <is>
          <t>SKÅNE LÄN</t>
        </is>
      </c>
      <c r="G62" t="inlineStr">
        <is>
          <t>SVEDALA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46298</v>
      </c>
      <c r="F63" t="inlineStr">
        <is>
          <t>SKÅNE LÄN</t>
        </is>
      </c>
      <c r="G63" t="inlineStr">
        <is>
          <t>SVEDALA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67456-2021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46298</v>
      </c>
      <c r="F64" t="inlineStr">
        <is>
          <t>SKÅNE LÄN</t>
        </is>
      </c>
      <c r="G64" t="inlineStr">
        <is>
          <t>SVEDALA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45030</v>
      </c>
      <c r="E65" s="1" t="n">
        <v>46298</v>
      </c>
      <c r="F65" t="inlineStr">
        <is>
          <t>SKÅNE LÄN</t>
        </is>
      </c>
      <c r="G65" t="inlineStr">
        <is>
          <t>SVEDALA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46298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46298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2026-10-03T01:58:40Z</dcterms:created>
  <dcterms:modified xmlns:dcterms="http://purl.org/dc/terms/" xmlns:xsi="http://www.w3.org/2001/XMLSchema-instance" xsi:type="dcterms:W3CDTF">2026-10-03T01:58:40Z</dcterms:modified>
</cp:coreProperties>
</file>