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46127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46127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46127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46127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46127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46127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46127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46127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58350-2025</t>
        </is>
      </c>
      <c r="B10" s="1" t="n">
        <v>45985.51048611111</v>
      </c>
      <c r="C10" s="1" t="n">
        <v>46127</v>
      </c>
      <c r="D10" t="inlineStr">
        <is>
          <t>SKÅNE LÄN</t>
        </is>
      </c>
      <c r="E10" t="inlineStr">
        <is>
          <t>SVEDALA</t>
        </is>
      </c>
      <c r="G10" t="n">
        <v>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HYPERLINK("https://klasma.github.io/Logging_1263/artfynd/A 58350-2025 artfynd.xlsx", "A 58350-2025")</f>
        <v/>
      </c>
      <c r="T10">
        <f>HYPERLINK("https://klasma.github.io/Logging_1263/kartor/A 58350-2025 karta.png", "A 58350-2025")</f>
        <v/>
      </c>
      <c r="V10">
        <f>HYPERLINK("https://klasma.github.io/Logging_1263/klagomål/A 58350-2025 FSC-klagomål.docx", "A 58350-2025")</f>
        <v/>
      </c>
      <c r="W10">
        <f>HYPERLINK("https://klasma.github.io/Logging_1263/klagomålsmail/A 58350-2025 FSC-klagomål mail.docx", "A 58350-2025")</f>
        <v/>
      </c>
      <c r="X10">
        <f>HYPERLINK("https://klasma.github.io/Logging_1263/tillsyn/A 58350-2025 tillsynsbegäran.docx", "A 58350-2025")</f>
        <v/>
      </c>
      <c r="Y10">
        <f>HYPERLINK("https://klasma.github.io/Logging_1263/tillsynsmail/A 58350-2025 tillsynsbegäran mail.docx", "A 58350-2025")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46127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46127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46127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46127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46127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46127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46127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46127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18888-2024</t>
        </is>
      </c>
      <c r="B19" s="1" t="n">
        <v>45427</v>
      </c>
      <c r="C19" s="1" t="n">
        <v>46127</v>
      </c>
      <c r="D19" t="inlineStr">
        <is>
          <t>SKÅNE LÄN</t>
        </is>
      </c>
      <c r="E19" t="inlineStr">
        <is>
          <t>SVEDALA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46127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46127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46127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46127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46127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46127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46127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51318-2025</t>
        </is>
      </c>
      <c r="B27" s="1" t="n">
        <v>45950.38170138889</v>
      </c>
      <c r="C27" s="1" t="n">
        <v>46127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46127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64060-2025</t>
        </is>
      </c>
      <c r="B29" s="1" t="n">
        <v>46021.6172337963</v>
      </c>
      <c r="C29" s="1" t="n">
        <v>46127</v>
      </c>
      <c r="D29" t="inlineStr">
        <is>
          <t>SKÅNE LÄN</t>
        </is>
      </c>
      <c r="E29" t="inlineStr">
        <is>
          <t>SVEDALA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57798-2022</t>
        </is>
      </c>
      <c r="B30" s="1" t="n">
        <v>44897</v>
      </c>
      <c r="C30" s="1" t="n">
        <v>46127</v>
      </c>
      <c r="D30" t="inlineStr">
        <is>
          <t>SKÅNE LÄN</t>
        </is>
      </c>
      <c r="E30" t="inlineStr">
        <is>
          <t>SVEDALA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57803-2022</t>
        </is>
      </c>
      <c r="B31" s="1" t="n">
        <v>44897</v>
      </c>
      <c r="C31" s="1" t="n">
        <v>46127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9570-2026</t>
        </is>
      </c>
      <c r="B32" s="1" t="n">
        <v>46070</v>
      </c>
      <c r="C32" s="1" t="n">
        <v>46127</v>
      </c>
      <c r="D32" t="inlineStr">
        <is>
          <t>SKÅNE LÄN</t>
        </is>
      </c>
      <c r="E32" t="inlineStr">
        <is>
          <t>SVEDALA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54282-2023</t>
        </is>
      </c>
      <c r="B33" s="1" t="n">
        <v>45232.69699074074</v>
      </c>
      <c r="C33" s="1" t="n">
        <v>46127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54580-2023</t>
        </is>
      </c>
      <c r="B34" s="1" t="n">
        <v>45233</v>
      </c>
      <c r="C34" s="1" t="n">
        <v>46127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46127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64055-2025</t>
        </is>
      </c>
      <c r="B36" s="1" t="n">
        <v>46021</v>
      </c>
      <c r="C36" s="1" t="n">
        <v>46127</v>
      </c>
      <c r="D36" t="inlineStr">
        <is>
          <t>SKÅNE LÄN</t>
        </is>
      </c>
      <c r="E36" t="inlineStr">
        <is>
          <t>SVEDALA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64058-2025</t>
        </is>
      </c>
      <c r="B37" s="1" t="n">
        <v>46021</v>
      </c>
      <c r="C37" s="1" t="n">
        <v>46127</v>
      </c>
      <c r="D37" t="inlineStr">
        <is>
          <t>SKÅNE LÄN</t>
        </is>
      </c>
      <c r="E37" t="inlineStr">
        <is>
          <t>SVEDALA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64051-2025</t>
        </is>
      </c>
      <c r="B38" s="1" t="n">
        <v>46021</v>
      </c>
      <c r="C38" s="1" t="n">
        <v>46127</v>
      </c>
      <c r="D38" t="inlineStr">
        <is>
          <t>SKÅNE LÄN</t>
        </is>
      </c>
      <c r="E38" t="inlineStr">
        <is>
          <t>SVEDALA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64049-2025</t>
        </is>
      </c>
      <c r="B39" s="1" t="n">
        <v>46021</v>
      </c>
      <c r="C39" s="1" t="n">
        <v>46127</v>
      </c>
      <c r="D39" t="inlineStr">
        <is>
          <t>SKÅNE LÄN</t>
        </is>
      </c>
      <c r="E39" t="inlineStr">
        <is>
          <t>SVEDALA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15277-2024</t>
        </is>
      </c>
      <c r="B40" s="1" t="n">
        <v>45400</v>
      </c>
      <c r="C40" s="1" t="n">
        <v>46127</v>
      </c>
      <c r="D40" t="inlineStr">
        <is>
          <t>SKÅNE LÄN</t>
        </is>
      </c>
      <c r="E40" t="inlineStr">
        <is>
          <t>SVEDALA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31393-2021</t>
        </is>
      </c>
      <c r="B41" s="1" t="n">
        <v>44368</v>
      </c>
      <c r="C41" s="1" t="n">
        <v>46127</v>
      </c>
      <c r="D41" t="inlineStr">
        <is>
          <t>SKÅNE LÄN</t>
        </is>
      </c>
      <c r="E41" t="inlineStr">
        <is>
          <t>SVEDALA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46127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46127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45401.68829861111</v>
      </c>
      <c r="C44" s="1" t="n">
        <v>46127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46127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46127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46127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15565-2024</t>
        </is>
      </c>
      <c r="B48" s="1" t="n">
        <v>45401.66103009259</v>
      </c>
      <c r="C48" s="1" t="n">
        <v>46127</v>
      </c>
      <c r="D48" t="inlineStr">
        <is>
          <t>SKÅNE LÄN</t>
        </is>
      </c>
      <c r="E48" t="inlineStr">
        <is>
          <t>SVEDALA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13344-2023</t>
        </is>
      </c>
      <c r="B49" s="1" t="n">
        <v>45005</v>
      </c>
      <c r="C49" s="1" t="n">
        <v>46127</v>
      </c>
      <c r="D49" t="inlineStr">
        <is>
          <t>SKÅNE LÄN</t>
        </is>
      </c>
      <c r="E49" t="inlineStr">
        <is>
          <t>SVEDALA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19190-2023</t>
        </is>
      </c>
      <c r="B50" s="1" t="n">
        <v>45048</v>
      </c>
      <c r="C50" s="1" t="n">
        <v>46127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46127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67456-2021</t>
        </is>
      </c>
      <c r="B52" s="1" t="n">
        <v>44524</v>
      </c>
      <c r="C52" s="1" t="n">
        <v>46127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15582-2024</t>
        </is>
      </c>
      <c r="B53" s="1" t="n">
        <v>45401.69502314815</v>
      </c>
      <c r="C53" s="1" t="n">
        <v>46127</v>
      </c>
      <c r="D53" t="inlineStr">
        <is>
          <t>SKÅNE LÄN</t>
        </is>
      </c>
      <c r="E53" t="inlineStr">
        <is>
          <t>SVEDALA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16690-2023</t>
        </is>
      </c>
      <c r="B54" s="1" t="n">
        <v>45030</v>
      </c>
      <c r="C54" s="1" t="n">
        <v>46127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2026-04-15T14:24:45Z</dcterms:created>
  <dcterms:modified xmlns:dcterms="http://purl.org/dc/terms/" xmlns:xsi="http://www.w3.org/2001/XMLSchema-instance" xsi:type="dcterms:W3CDTF">2026-04-15T14:24:45Z</dcterms:modified>
</cp:coreProperties>
</file>