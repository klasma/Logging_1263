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46280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46280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46280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46280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Mindre tåtelsmygare
Skogsknipprot</t>
        </is>
      </c>
      <c r="W14">
        <f>HYPERLINK("https://klasma.github.io/Logging_1263/artfynd/A 25022-2026 artfynd.xlsx", "A 25022-2026")</f>
        <v/>
      </c>
      <c r="X14">
        <f>HYPERLINK("https://klasma.github.io/Logging_1263/kartor/A 25022-2026 karta.png", "A 25022-2026")</f>
        <v/>
      </c>
      <c r="Y14">
        <f>HYPERLINK("https://klasma.github.io/Logging_1263/kartor_geotiff/A 25022-2026 georefererad karta.tif", "A 25022-2026")</f>
        <v/>
      </c>
      <c r="AA14">
        <f>HYPERLINK("https://klasma.github.io/Logging_1263/klagomål/A 25022-2026 FSC-klagomål.docx", "A 25022-2026")</f>
        <v/>
      </c>
      <c r="AB14">
        <f>HYPERLINK("https://klasma.github.io/Logging_1263/klagomålsmail/A 25022-2026 FSC-klagomål mail.docx", "A 25022-2026")</f>
        <v/>
      </c>
      <c r="AC14">
        <f>HYPERLINK("https://klasma.github.io/Logging_1263/tillsyn/A 25022-2026 tillsynsbegäran.docx", "A 25022-2026")</f>
        <v/>
      </c>
      <c r="AD14">
        <f>HYPERLINK("https://klasma.github.io/Logging_1263/tillsynsmail/A 25022-2026 tillsynsbegäran mail.docx", "A 25022-2026")</f>
        <v/>
      </c>
    </row>
    <row r="15" ht="15" customHeight="1">
      <c r="A15" t="inlineStr">
        <is>
          <t>A 31697-2023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46280</v>
      </c>
      <c r="F15" t="inlineStr">
        <is>
          <t>SKÅNE LÄN</t>
        </is>
      </c>
      <c r="G15" t="inlineStr">
        <is>
          <t>SVEDALA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31697-2023 artfynd.xlsx", "A 31697-2023")</f>
        <v/>
      </c>
      <c r="X15">
        <f>HYPERLINK("https://klasma.github.io/Logging_1263/kartor/A 31697-2023 karta.png", "A 31697-2023")</f>
        <v/>
      </c>
      <c r="Y15">
        <f>HYPERLINK("https://klasma.github.io/Logging_1263/kartor_geotiff/A 31697-2023 georefererad karta.tif", "A 31697-2023")</f>
        <v/>
      </c>
      <c r="AA15">
        <f>HYPERLINK("https://klasma.github.io/Logging_1263/klagomål/A 31697-2023 FSC-klagomål.docx", "A 31697-2023")</f>
        <v/>
      </c>
      <c r="AB15">
        <f>HYPERLINK("https://klasma.github.io/Logging_1263/klagomålsmail/A 31697-2023 FSC-klagomål mail.docx", "A 31697-2023")</f>
        <v/>
      </c>
      <c r="AC15">
        <f>HYPERLINK("https://klasma.github.io/Logging_1263/tillsyn/A 31697-2023 tillsynsbegäran.docx", "A 31697-2023")</f>
        <v/>
      </c>
      <c r="AD15">
        <f>HYPERLINK("https://klasma.github.io/Logging_1263/tillsynsmail/A 31697-2023 tillsynsbegäran mail.docx", "A 31697-2023")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46280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46280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46280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46280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46280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46021</v>
      </c>
      <c r="E29" s="1" t="n">
        <v>46280</v>
      </c>
      <c r="F29" t="inlineStr">
        <is>
          <t>SKÅNE LÄN</t>
        </is>
      </c>
      <c r="G29" t="inlineStr">
        <is>
          <t>SVEDALA</t>
        </is>
      </c>
      <c r="I29" t="n">
        <v>6.4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46280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46280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46280</v>
      </c>
      <c r="F32" t="inlineStr">
        <is>
          <t>SKÅNE LÄN</t>
        </is>
      </c>
      <c r="G32" t="inlineStr">
        <is>
          <t>SVEDALA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46280</v>
      </c>
      <c r="F33" t="inlineStr">
        <is>
          <t>SKÅNE LÄN</t>
        </is>
      </c>
      <c r="G33" t="inlineStr">
        <is>
          <t>SVEDALA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46280</v>
      </c>
      <c r="F34" t="inlineStr">
        <is>
          <t>SKÅNE LÄN</t>
        </is>
      </c>
      <c r="G34" t="inlineStr">
        <is>
          <t>SVEDALA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46280</v>
      </c>
      <c r="F35" t="inlineStr">
        <is>
          <t>SKÅNE LÄN</t>
        </is>
      </c>
      <c r="G35" t="inlineStr">
        <is>
          <t>SVEDALA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46280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25603-2024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45463</v>
      </c>
      <c r="E37" s="1" t="n">
        <v>46280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46280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46280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46280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46280</v>
      </c>
      <c r="F41" t="inlineStr">
        <is>
          <t>SKÅNE LÄN</t>
        </is>
      </c>
      <c r="G41" t="inlineStr">
        <is>
          <t>SVEDALA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46280</v>
      </c>
      <c r="F42" t="inlineStr">
        <is>
          <t>SKÅNE LÄN</t>
        </is>
      </c>
      <c r="G42" t="inlineStr">
        <is>
          <t>SVEDALA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46280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46280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46280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46280</v>
      </c>
      <c r="F46" t="inlineStr">
        <is>
          <t>SKÅNE LÄN</t>
        </is>
      </c>
      <c r="G46" t="inlineStr">
        <is>
          <t>SVEDALA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46280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46280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46280</v>
      </c>
      <c r="F49" t="inlineStr">
        <is>
          <t>SKÅNE LÄN</t>
        </is>
      </c>
      <c r="G49" t="inlineStr">
        <is>
          <t>SVEDALA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46280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46280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46280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46280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46280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46280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46280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46280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46280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46280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2026-09-15T08:14:14Z</dcterms:created>
  <dcterms:modified xmlns:dcterms="http://purl.org/dc/terms/" xmlns:xsi="http://www.w3.org/2001/XMLSchema-instance" xsi:type="dcterms:W3CDTF">2026-09-15T08:14:14Z</dcterms:modified>
</cp:coreProperties>
</file>