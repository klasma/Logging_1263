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46316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46316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46316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46316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46316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46316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46316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46316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46316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46316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46316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46316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46316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46316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46316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46316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46316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46316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46316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46316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46316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46316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46316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A 42218-2026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46306</v>
      </c>
      <c r="E26" s="1" t="n">
        <v>46316</v>
      </c>
      <c r="F26" t="inlineStr">
        <is>
          <t>SKÅNE LÄN</t>
        </is>
      </c>
      <c r="G26" t="inlineStr">
        <is>
          <t>SVEDALA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Buskvicker</t>
        </is>
      </c>
      <c r="W26">
        <f>HYPERLINK("https://klasma.github.io/Logging_1263/artfynd/A 42218-2026 artfynd.xlsx", "A 42218-2026")</f>
        <v/>
      </c>
      <c r="X26">
        <f>HYPERLINK("https://klasma.github.io/Logging_1263/kartor/A 42218-2026 karta.png", "A 42218-2026")</f>
        <v/>
      </c>
      <c r="Y26">
        <f>HYPERLINK("https://klasma.github.io/Logging_1263/kartor_geotiff/A 42218-2026 georefererad karta.tif", "A 42218-2026")</f>
        <v/>
      </c>
      <c r="AA26">
        <f>HYPERLINK("https://klasma.github.io/Logging_1263/klagomål/A 42218-2026 FSC-klagomål.docx", "A 42218-2026")</f>
        <v/>
      </c>
      <c r="AB26">
        <f>HYPERLINK("https://klasma.github.io/Logging_1263/klagomålsmail/A 42218-2026 FSC-klagomål mail.docx", "A 42218-2026")</f>
        <v/>
      </c>
      <c r="AC26">
        <f>HYPERLINK("https://klasma.github.io/Logging_1263/tillsyn/A 42218-2026 tillsynsbegäran.docx", "A 42218-2026")</f>
        <v/>
      </c>
      <c r="AD26">
        <f>HYPERLINK("https://klasma.github.io/Logging_1263/tillsynsmail/A 42218-2026 tillsynsbegäran mail.docx", "A 42218-2026")</f>
        <v/>
      </c>
    </row>
    <row r="27" ht="15" customHeight="1">
      <c r="A27" t="inlineStr">
        <is>
          <t>A 15582-2024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46316</v>
      </c>
      <c r="F27" t="inlineStr">
        <is>
          <t>SKÅNE LÄN</t>
        </is>
      </c>
      <c r="G27" t="inlineStr">
        <is>
          <t>SVEDALA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Trana</t>
        </is>
      </c>
      <c r="W27">
        <f>HYPERLINK("https://klasma.github.io/Logging_1263/artfynd/A 15582-2024 artfynd.xlsx", "A 15582-2024")</f>
        <v/>
      </c>
      <c r="X27">
        <f>HYPERLINK("https://klasma.github.io/Logging_1263/kartor/A 15582-2024 karta.png", "A 15582-2024")</f>
        <v/>
      </c>
      <c r="Y27">
        <f>HYPERLINK("https://klasma.github.io/Logging_1263/kartor_geotiff/A 15582-2024 georefererad karta.tif", "A 15582-2024")</f>
        <v/>
      </c>
      <c r="AA27">
        <f>HYPERLINK("https://klasma.github.io/Logging_1263/klagomål/A 15582-2024 FSC-klagomål.docx", "A 15582-2024")</f>
        <v/>
      </c>
      <c r="AB27">
        <f>HYPERLINK("https://klasma.github.io/Logging_1263/klagomålsmail/A 15582-2024 FSC-klagomål mail.docx", "A 15582-2024")</f>
        <v/>
      </c>
      <c r="AC27">
        <f>HYPERLINK("https://klasma.github.io/Logging_1263/tillsyn/A 15582-2024 tillsynsbegäran.docx", "A 15582-2024")</f>
        <v/>
      </c>
      <c r="AD27">
        <f>HYPERLINK("https://klasma.github.io/Logging_1263/tillsynsmail/A 15582-2024 tillsynsbegäran mail.docx", "A 15582-2024")</f>
        <v/>
      </c>
      <c r="AE27">
        <f>HYPERLINK("https://klasma.github.io/Logging_1263/fåglar/A 15582-2024 prioriterade fågelarter.docx", "A 15582-2024")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46316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46316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18888-2024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46316</v>
      </c>
      <c r="F30" t="inlineStr">
        <is>
          <t>SKÅNE LÄN</t>
        </is>
      </c>
      <c r="G30" t="inlineStr">
        <is>
          <t>SVEDALA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29030-2023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46316</v>
      </c>
      <c r="F31" t="inlineStr">
        <is>
          <t>SKÅNE LÄN</t>
        </is>
      </c>
      <c r="G31" t="inlineStr">
        <is>
          <t>SVEDALA</t>
        </is>
      </c>
      <c r="I31" t="n">
        <v>8.1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46316</v>
      </c>
      <c r="F32" t="inlineStr">
        <is>
          <t>SKÅNE LÄN</t>
        </is>
      </c>
      <c r="G32" t="inlineStr">
        <is>
          <t>SVEDALA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31701-2023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46316</v>
      </c>
      <c r="F33" t="inlineStr">
        <is>
          <t>SKÅNE LÄN</t>
        </is>
      </c>
      <c r="G33" t="inlineStr">
        <is>
          <t>SVEDALA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56202-2023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45240</v>
      </c>
      <c r="E34" s="1" t="n">
        <v>46316</v>
      </c>
      <c r="F34" t="inlineStr">
        <is>
          <t>SKÅNE LÄN</t>
        </is>
      </c>
      <c r="G34" t="inlineStr">
        <is>
          <t>SVEDALA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46316</v>
      </c>
      <c r="F35" t="inlineStr">
        <is>
          <t>SKÅNE LÄN</t>
        </is>
      </c>
      <c r="G35" t="inlineStr">
        <is>
          <t>SVEDALA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46316</v>
      </c>
      <c r="F36" t="inlineStr">
        <is>
          <t>SKÅNE LÄN</t>
        </is>
      </c>
      <c r="G36" t="inlineStr">
        <is>
          <t>SVEDALA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46316</v>
      </c>
      <c r="F37" t="inlineStr">
        <is>
          <t>SKÅNE LÄN</t>
        </is>
      </c>
      <c r="G37" t="inlineStr">
        <is>
          <t>SVEDALA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46316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44907</v>
      </c>
      <c r="E39" s="1" t="n">
        <v>46316</v>
      </c>
      <c r="F39" t="inlineStr">
        <is>
          <t>SKÅNE LÄN</t>
        </is>
      </c>
      <c r="G39" t="inlineStr">
        <is>
          <t>SVEDALA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25603-2024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45463</v>
      </c>
      <c r="E40" s="1" t="n">
        <v>46316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46316</v>
      </c>
      <c r="F41" t="inlineStr">
        <is>
          <t>SKÅNE LÄN</t>
        </is>
      </c>
      <c r="G41" t="inlineStr">
        <is>
          <t>SVEDALA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46316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46316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46316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45233</v>
      </c>
      <c r="E45" s="1" t="n">
        <v>46316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46316</v>
      </c>
      <c r="F46" t="inlineStr">
        <is>
          <t>SKÅNE LÄN</t>
        </is>
      </c>
      <c r="G46" t="inlineStr">
        <is>
          <t>SVEDALA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46316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15277-2024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45400</v>
      </c>
      <c r="E48" s="1" t="n">
        <v>46316</v>
      </c>
      <c r="F48" t="inlineStr">
        <is>
          <t>SKÅNE LÄN</t>
        </is>
      </c>
      <c r="G48" t="inlineStr">
        <is>
          <t>SVEDALA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46316</v>
      </c>
      <c r="F49" t="inlineStr">
        <is>
          <t>SKÅNE LÄN</t>
        </is>
      </c>
      <c r="G49" t="inlineStr">
        <is>
          <t>SVEDALA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46286</v>
      </c>
      <c r="E50" s="1" t="n">
        <v>46316</v>
      </c>
      <c r="F50" t="inlineStr">
        <is>
          <t>SKÅNE LÄN</t>
        </is>
      </c>
      <c r="G50" t="inlineStr">
        <is>
          <t>SVEDALA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46286</v>
      </c>
      <c r="E51" s="1" t="n">
        <v>46316</v>
      </c>
      <c r="F51" t="inlineStr">
        <is>
          <t>SKÅNE LÄN</t>
        </is>
      </c>
      <c r="G51" t="inlineStr">
        <is>
          <t>SVEDALA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46316</v>
      </c>
      <c r="F52" t="inlineStr">
        <is>
          <t>SKÅNE LÄN</t>
        </is>
      </c>
      <c r="G52" t="inlineStr">
        <is>
          <t>SVEDALA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46316</v>
      </c>
      <c r="F53" t="inlineStr">
        <is>
          <t>SKÅNE LÄN</t>
        </is>
      </c>
      <c r="G53" t="inlineStr">
        <is>
          <t>SVEDALA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46316</v>
      </c>
      <c r="F54" t="inlineStr">
        <is>
          <t>SKÅNE LÄN</t>
        </is>
      </c>
      <c r="G54" t="inlineStr">
        <is>
          <t>SVEDALA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46316</v>
      </c>
      <c r="F55" t="inlineStr">
        <is>
          <t>SKÅNE LÄN</t>
        </is>
      </c>
      <c r="G55" t="inlineStr">
        <is>
          <t>SVEDALA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46316</v>
      </c>
      <c r="F56" t="inlineStr">
        <is>
          <t>SKÅNE LÄN</t>
        </is>
      </c>
      <c r="G56" t="inlineStr">
        <is>
          <t>SVEDALA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46316</v>
      </c>
      <c r="F57" t="inlineStr">
        <is>
          <t>SKÅNE LÄN</t>
        </is>
      </c>
      <c r="G57" t="inlineStr">
        <is>
          <t>SVEDALA</t>
        </is>
      </c>
      <c r="I57" t="n">
        <v>8.9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46316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46316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46316</v>
      </c>
      <c r="F60" t="inlineStr">
        <is>
          <t>SKÅNE LÄN</t>
        </is>
      </c>
      <c r="G60" t="inlineStr">
        <is>
          <t>SVEDALA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45005</v>
      </c>
      <c r="E61" s="1" t="n">
        <v>46316</v>
      </c>
      <c r="F61" t="inlineStr">
        <is>
          <t>SKÅNE LÄN</t>
        </is>
      </c>
      <c r="G61" t="inlineStr">
        <is>
          <t>SVEDALA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46316</v>
      </c>
      <c r="F62" t="inlineStr">
        <is>
          <t>SKÅNE LÄN</t>
        </is>
      </c>
      <c r="G62" t="inlineStr">
        <is>
          <t>SVEDALA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19190-2023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45048</v>
      </c>
      <c r="E63" s="1" t="n">
        <v>46316</v>
      </c>
      <c r="F63" t="inlineStr">
        <is>
          <t>SKÅNE LÄN</t>
        </is>
      </c>
      <c r="G63" t="inlineStr">
        <is>
          <t>SVEDALA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46316</v>
      </c>
      <c r="F64" t="inlineStr">
        <is>
          <t>SKÅNE LÄN</t>
        </is>
      </c>
      <c r="G64" t="inlineStr">
        <is>
          <t>SVEDALA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67456-2021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46316</v>
      </c>
      <c r="F65" t="inlineStr">
        <is>
          <t>SKÅNE LÄN</t>
        </is>
      </c>
      <c r="G65" t="inlineStr">
        <is>
          <t>SVEDALA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16690-2023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45030</v>
      </c>
      <c r="E66" s="1" t="n">
        <v>46316</v>
      </c>
      <c r="F66" t="inlineStr">
        <is>
          <t>SKÅNE LÄN</t>
        </is>
      </c>
      <c r="G66" t="inlineStr">
        <is>
          <t>SVEDALA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46316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46316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2026-10-21T02:06:36Z</dcterms:created>
  <dcterms:modified xmlns:dcterms="http://purl.org/dc/terms/" xmlns:xsi="http://www.w3.org/2001/XMLSchema-instance" xsi:type="dcterms:W3CDTF">2026-10-21T02:06:36Z</dcterms:modified>
</cp:coreProperties>
</file>