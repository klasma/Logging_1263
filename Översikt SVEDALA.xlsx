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46326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46326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46326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46326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2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46326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46326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46326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46326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46326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46326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46326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46326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15565-2024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46326</v>
      </c>
      <c r="F14" t="inlineStr">
        <is>
          <t>SKÅNE LÄN</t>
        </is>
      </c>
      <c r="G14" t="inlineStr">
        <is>
          <t>SVEDALA</t>
        </is>
      </c>
      <c r="I14" t="n">
        <v>7</v>
      </c>
      <c r="J14" t="n">
        <v>0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4</v>
      </c>
      <c r="U14" t="n">
        <v>2</v>
      </c>
      <c r="V14" s="2" t="inlineStr">
        <is>
          <t>Skogsalm
Igelkott</t>
        </is>
      </c>
      <c r="W14">
        <f>HYPERLINK("https://klasma.github.io/Logging_1263/artfynd/A 15565-2024 artfynd.xlsx", "A 15565-2024")</f>
        <v/>
      </c>
      <c r="X14">
        <f>HYPERLINK("https://klasma.github.io/Logging_1263/kartor/A 15565-2024 karta.png", "A 15565-2024")</f>
        <v/>
      </c>
      <c r="Y14">
        <f>HYPERLINK("https://klasma.github.io/Logging_1263/kartor_geotiff/A 15565-2024 georefererad karta.tif", "A 15565-2024")</f>
        <v/>
      </c>
      <c r="AA14">
        <f>HYPERLINK("https://klasma.github.io/Logging_1263/klagomål/A 15565-2024 FSC-klagomål.docx", "A 15565-2024")</f>
        <v/>
      </c>
      <c r="AB14">
        <f>HYPERLINK("https://klasma.github.io/Logging_1263/klagomålsmail/A 15565-2024 FSC-klagomål mail.docx", "A 15565-2024")</f>
        <v/>
      </c>
      <c r="AC14">
        <f>HYPERLINK("https://klasma.github.io/Logging_1263/tillsyn/A 15565-2024 tillsynsbegäran.docx", "A 15565-2024")</f>
        <v/>
      </c>
      <c r="AD14">
        <f>HYPERLINK("https://klasma.github.io/Logging_1263/tillsynsmail/A 15565-2024 tillsynsbegäran mail.docx", "A 15565-2024")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46326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46326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46326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46326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46326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46326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46326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46326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46326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46326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46326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A 42218-2026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46306</v>
      </c>
      <c r="E26" s="1" t="n">
        <v>46326</v>
      </c>
      <c r="F26" t="inlineStr">
        <is>
          <t>SKÅNE LÄN</t>
        </is>
      </c>
      <c r="G26" t="inlineStr">
        <is>
          <t>SVEDALA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Buskvicker</t>
        </is>
      </c>
      <c r="W26">
        <f>HYPERLINK("https://klasma.github.io/Logging_1263/artfynd/A 42218-2026 artfynd.xlsx", "A 42218-2026")</f>
        <v/>
      </c>
      <c r="X26">
        <f>HYPERLINK("https://klasma.github.io/Logging_1263/kartor/A 42218-2026 karta.png", "A 42218-2026")</f>
        <v/>
      </c>
      <c r="Y26">
        <f>HYPERLINK("https://klasma.github.io/Logging_1263/kartor_geotiff/A 42218-2026 georefererad karta.tif", "A 42218-2026")</f>
        <v/>
      </c>
      <c r="AA26">
        <f>HYPERLINK("https://klasma.github.io/Logging_1263/klagomål/A 42218-2026 FSC-klagomål.docx", "A 42218-2026")</f>
        <v/>
      </c>
      <c r="AB26">
        <f>HYPERLINK("https://klasma.github.io/Logging_1263/klagomålsmail/A 42218-2026 FSC-klagomål mail.docx", "A 42218-2026")</f>
        <v/>
      </c>
      <c r="AC26">
        <f>HYPERLINK("https://klasma.github.io/Logging_1263/tillsyn/A 42218-2026 tillsynsbegäran.docx", "A 42218-2026")</f>
        <v/>
      </c>
      <c r="AD26">
        <f>HYPERLINK("https://klasma.github.io/Logging_1263/tillsynsmail/A 42218-2026 tillsynsbegäran mail.docx", "A 42218-2026")</f>
        <v/>
      </c>
    </row>
    <row r="27" ht="15" customHeight="1">
      <c r="A27" t="inlineStr">
        <is>
          <t>A 25054-2026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46326</v>
      </c>
      <c r="F27" t="inlineStr">
        <is>
          <t>SKÅNE LÄN</t>
        </is>
      </c>
      <c r="G27" t="inlineStr">
        <is>
          <t>SVEDALA</t>
        </is>
      </c>
      <c r="I27" t="n">
        <v>3.8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Fransig jordstjärna</t>
        </is>
      </c>
      <c r="W27">
        <f>HYPERLINK("https://klasma.github.io/Logging_1263/artfynd/A 25054-2026 artfynd.xlsx", "A 25054-2026")</f>
        <v/>
      </c>
      <c r="X27">
        <f>HYPERLINK("https://klasma.github.io/Logging_1263/kartor/A 25054-2026 karta.png", "A 25054-2026")</f>
        <v/>
      </c>
      <c r="Y27">
        <f>HYPERLINK("https://klasma.github.io/Logging_1263/kartor_geotiff/A 25054-2026 georefererad karta.tif", "A 25054-2026")</f>
        <v/>
      </c>
      <c r="AA27">
        <f>HYPERLINK("https://klasma.github.io/Logging_1263/klagomål/A 25054-2026 FSC-klagomål.docx", "A 25054-2026")</f>
        <v/>
      </c>
      <c r="AB27">
        <f>HYPERLINK("https://klasma.github.io/Logging_1263/klagomålsmail/A 25054-2026 FSC-klagomål mail.docx", "A 25054-2026")</f>
        <v/>
      </c>
      <c r="AC27">
        <f>HYPERLINK("https://klasma.github.io/Logging_1263/tillsyn/A 25054-2026 tillsynsbegäran.docx", "A 25054-2026")</f>
        <v/>
      </c>
      <c r="AD27">
        <f>HYPERLINK("https://klasma.github.io/Logging_1263/tillsynsmail/A 25054-2026 tillsynsbegäran mail.docx", "A 25054-2026")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46326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46326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46326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46326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56202-2023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45240</v>
      </c>
      <c r="E32" s="1" t="n">
        <v>46326</v>
      </c>
      <c r="F32" t="inlineStr">
        <is>
          <t>SKÅNE LÄN</t>
        </is>
      </c>
      <c r="G32" t="inlineStr">
        <is>
          <t>SVEDALA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46326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46326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46326</v>
      </c>
      <c r="F35" t="inlineStr">
        <is>
          <t>SKÅNE LÄN</t>
        </is>
      </c>
      <c r="G35" t="inlineStr">
        <is>
          <t>SVEDALA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46326</v>
      </c>
      <c r="F36" t="inlineStr">
        <is>
          <t>SKÅNE LÄN</t>
        </is>
      </c>
      <c r="G36" t="inlineStr">
        <is>
          <t>SVEDALA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46326</v>
      </c>
      <c r="F37" t="inlineStr">
        <is>
          <t>SKÅNE LÄN</t>
        </is>
      </c>
      <c r="G37" t="inlineStr">
        <is>
          <t>SVEDALA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46326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46326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46326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46326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46326</v>
      </c>
      <c r="F42" t="inlineStr">
        <is>
          <t>SKÅNE LÄN</t>
        </is>
      </c>
      <c r="G42" t="inlineStr">
        <is>
          <t>SVEDALA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46326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46326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46326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45950</v>
      </c>
      <c r="E46" s="1" t="n">
        <v>46326</v>
      </c>
      <c r="F46" t="inlineStr">
        <is>
          <t>SKÅNE LÄN</t>
        </is>
      </c>
      <c r="G46" t="inlineStr">
        <is>
          <t>SVEDALA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46326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15577-2024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46326</v>
      </c>
      <c r="F48" t="inlineStr">
        <is>
          <t>SKÅNE LÄN</t>
        </is>
      </c>
      <c r="G48" t="inlineStr">
        <is>
          <t>SVEDALA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46326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46326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27113-2022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44741</v>
      </c>
      <c r="E51" s="1" t="n">
        <v>46326</v>
      </c>
      <c r="F51" t="inlineStr">
        <is>
          <t>SKÅNE LÄN</t>
        </is>
      </c>
      <c r="G51" t="inlineStr">
        <is>
          <t>SVEDALA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45406</v>
      </c>
      <c r="E52" s="1" t="n">
        <v>46326</v>
      </c>
      <c r="F52" t="inlineStr">
        <is>
          <t>SKÅNE LÄN</t>
        </is>
      </c>
      <c r="G52" t="inlineStr">
        <is>
          <t>SVEDALA</t>
        </is>
      </c>
      <c r="I52" t="n">
        <v>13.5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13344-2023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45005</v>
      </c>
      <c r="E53" s="1" t="n">
        <v>46326</v>
      </c>
      <c r="F53" t="inlineStr">
        <is>
          <t>SKÅNE LÄN</t>
        </is>
      </c>
      <c r="G53" t="inlineStr">
        <is>
          <t>SVEDALA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19190-2023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45048</v>
      </c>
      <c r="E54" s="1" t="n">
        <v>46326</v>
      </c>
      <c r="F54" t="inlineStr">
        <is>
          <t>SKÅNE LÄN</t>
        </is>
      </c>
      <c r="G54" t="inlineStr">
        <is>
          <t>SVEDALA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46326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46326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46326</v>
      </c>
      <c r="F57" t="inlineStr">
        <is>
          <t>SKÅNE LÄN</t>
        </is>
      </c>
      <c r="G57" t="inlineStr">
        <is>
          <t>SVEDALA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46326</v>
      </c>
      <c r="F58" t="inlineStr">
        <is>
          <t>SKÅNE LÄN</t>
        </is>
      </c>
      <c r="G58" t="inlineStr">
        <is>
          <t>SVEDALA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46326</v>
      </c>
      <c r="F59" t="inlineStr">
        <is>
          <t>SKÅNE LÄN</t>
        </is>
      </c>
      <c r="G59" t="inlineStr">
        <is>
          <t>SVEDALA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46326</v>
      </c>
      <c r="F60" t="inlineStr">
        <is>
          <t>SKÅNE LÄN</t>
        </is>
      </c>
      <c r="G60" t="inlineStr">
        <is>
          <t>SVEDALA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46326</v>
      </c>
      <c r="F61" t="inlineStr">
        <is>
          <t>SKÅNE LÄN</t>
        </is>
      </c>
      <c r="G61" t="inlineStr">
        <is>
          <t>SVEDALA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46326</v>
      </c>
      <c r="F62" t="inlineStr">
        <is>
          <t>SKÅNE LÄN</t>
        </is>
      </c>
      <c r="G62" t="inlineStr">
        <is>
          <t>SVEDALA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45427</v>
      </c>
      <c r="E63" s="1" t="n">
        <v>46326</v>
      </c>
      <c r="F63" t="inlineStr">
        <is>
          <t>SKÅNE LÄN</t>
        </is>
      </c>
      <c r="G63" t="inlineStr">
        <is>
          <t>SVEDALA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46326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46326</v>
      </c>
      <c r="F65" t="inlineStr">
        <is>
          <t>SKÅNE LÄN</t>
        </is>
      </c>
      <c r="G65" t="inlineStr">
        <is>
          <t>SVEDALA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46176</v>
      </c>
      <c r="E66" s="1" t="n">
        <v>46326</v>
      </c>
      <c r="F66" t="inlineStr">
        <is>
          <t>SKÅNE LÄN</t>
        </is>
      </c>
      <c r="G66" t="inlineStr">
        <is>
          <t>SVEDALA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46326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46326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2026-10-31T03:26:40Z</dcterms:created>
  <dcterms:modified xmlns:dcterms="http://purl.org/dc/terms/" xmlns:xsi="http://www.w3.org/2001/XMLSchema-instance" xsi:type="dcterms:W3CDTF">2026-10-31T03:26:40Z</dcterms:modified>
</cp:coreProperties>
</file>